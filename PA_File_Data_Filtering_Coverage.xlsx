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 Library" sheetId="1" state="visible" r:id="rId3"/>
    <sheet name="Coverage Matrix" sheetId="2" state="visible" r:id="rId4"/>
    <sheet name="Summary Roll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<sst xmlns="http://schemas.openxmlformats.org/spreadsheetml/2006/main" count="199" uniqueCount="93">
  <si>
    <t xml:space="preserve">PA File/Data Filtering — Pattern Library</t>
  </si>
  <si>
    <t xml:space="preserve">CVS Health CCD Platform Information Security — Skyhigh-to-PA Migration | DLP Pattern Library</t>
  </si>
  <si>
    <t xml:space="preserve">Pattern Name</t>
  </si>
  <si>
    <t xml:space="preserve">Category</t>
  </si>
  <si>
    <t xml:space="preserve">Description</t>
  </si>
  <si>
    <t xml:space="preserve">File Type</t>
  </si>
  <si>
    <t xml:space="preserve">Regex - No Separators</t>
  </si>
  <si>
    <t xml:space="preserve">Regex - With Separators</t>
  </si>
  <si>
    <t xml:space="preserve">Separator Format Note</t>
  </si>
  <si>
    <t xml:space="preserve">Profile Type Required</t>
  </si>
  <si>
    <t xml:space="preserve">Enforcement Readiness</t>
  </si>
  <si>
    <t xml:space="preserve">Notes / Confidence</t>
  </si>
  <si>
    <t xml:space="preserve">SSN</t>
  </si>
  <si>
    <t xml:space="preserve">Government ID</t>
  </si>
  <si>
    <t xml:space="preserve">Standard 9-digit US Social Security Number.</t>
  </si>
  <si>
    <t xml:space="preserve">Any</t>
  </si>
  <si>
    <t xml:space="preserve">\b\d{9}\b</t>
  </si>
  <si>
    <t xml:space="preserve">\b\d{3}-\d{2}-\d{4}\b</t>
  </si>
  <si>
    <t xml:space="preserve">Standard XXX-XX-XXXX</t>
  </si>
  <si>
    <t xml:space="preserve">Classic Data Filtering</t>
  </si>
  <si>
    <t xml:space="preserve">Built — Alert-only (one profile currently attached to a security policy rule)</t>
  </si>
  <si>
    <t xml:space="preserve">Already in production as Alert-only. Not yet promoted to Block.</t>
  </si>
  <si>
    <t xml:space="preserve">PCI (Card Data)</t>
  </si>
  <si>
    <t xml:space="preserve">Payment Data</t>
  </si>
  <si>
    <t xml:space="preserve">Primary Account Number (PAN) pattern for major card brands.</t>
  </si>
  <si>
    <t xml:space="preserve">\b(?:4\d{12}(?:\d{3})?|5[1-5]\d{14}|3[47]\d{13}|6(?:011|5\d{2})\d{12})\b</t>
  </si>
  <si>
    <t xml:space="preserve">\b(?:4\d{3}[- ]?\d{4}[- ]?\d{4}(?:[- ]?\d{3})?|5[1-5]\d{2}[- ]?\d{4}[- ]?\d{4}[- ]?\d{4}|3[47]\d{2}[- ]?\d{6}[- ]?\d{5}|6(?:011|5\d{2})[- ]?\d{4}[- ]?\d{4}[- ]?\d{4})\b</t>
  </si>
  <si>
    <t xml:space="preserve">Dash/space-delimited card groupings by brand</t>
  </si>
  <si>
    <t xml:space="preserve">Built — Not wired to any security policy rule</t>
  </si>
  <si>
    <t xml:space="preserve">Existing build per prior DLP inventory. No Luhn check in this profile type — expect some false positives on random 15/16-digit numbers.</t>
  </si>
  <si>
    <t xml:space="preserve">Driver's License - US</t>
  </si>
  <si>
    <t xml:space="preserve">US state driver's license number formats (built from corrected reference set).</t>
  </si>
  <si>
    <t xml:space="preserve">(see dedicated DL pattern CSV — state-specific formats)</t>
  </si>
  <si>
    <t xml:space="preserve">Varies by state</t>
  </si>
  <si>
    <t xml:space="preserve">Full corrected pattern set lives in separate PAN-OS-ready CSV; reference here for coverage matrix tracking only.</t>
  </si>
  <si>
    <t xml:space="preserve">Member ID</t>
  </si>
  <si>
    <t xml:space="preserve">Health Plan ID</t>
  </si>
  <si>
    <t xml:space="preserve">CVS/Aetna health plan member identifier, required for Skyhigh parity.</t>
  </si>
  <si>
    <t xml:space="preserve">(see existing Member ID data pattern object)</t>
  </si>
  <si>
    <t xml:space="preserve">Per existing Skyhigh pattern definition</t>
  </si>
  <si>
    <t xml:space="preserve">Carried over from Skyhigh parity requirement; regex not redefined in this workstream.</t>
  </si>
  <si>
    <t xml:space="preserve">MBI (Medicare Beneficiary Identifier)</t>
  </si>
  <si>
    <t xml:space="preserve">CMS Identifier</t>
  </si>
  <si>
    <t xml:space="preserve">11-character CMS Medicare Beneficiary Identifier, post-2018 SSNRI format.</t>
  </si>
  <si>
    <t xml:space="preserve">\b[1-9][ACDEFGHJKMNPQRTUVWXY][ACDEFGHJKMNPQRTUVWXY0-9][0-9][ACDEFGHJKMNPQRTUVWXY][ACDEFGHJKMNPQRTUVWXY0-9][0-9]{2}[ACDEFGHJKMNPQRTUVWXY]{2}[0-9]\b</t>
  </si>
  <si>
    <t xml:space="preserve">\b[1-9][ACDEFGHJKMNPQRTUVWXY][ACDEFGHJKMNPQRTUVWXY0-9][0-9]-[ACDEFGHJKMNPQRTUVWXY][ACDEFGHJKMNPQRTUVWXY0-9][0-9]{2}-[ACDEFGHJKMNPQRTUVWXY]{2}[0-9]\b</t>
  </si>
  <si>
    <t xml:space="preserve">4-3-4 hyphenated (e.g., 1EG4-TE5-MK73)</t>
  </si>
  <si>
    <t xml:space="preserve">New — Ready for Block on introduction</t>
  </si>
  <si>
    <t xml:space="preserve">High precision standalone. Fixed excluded-letter alphabet (no B/I/L/O/S/Z) + strict positional structure. No proximity keyword needed or available in this profile type.</t>
  </si>
  <si>
    <t xml:space="preserve">SSN - Masked/Partially Redacted</t>
  </si>
  <si>
    <t xml:space="preserve">Government ID (Partial)</t>
  </si>
  <si>
    <t xml:space="preserve">SSN with first 5 digits masked, last 4 exposed (e.g., XXX-XX-1234).</t>
  </si>
  <si>
    <t xml:space="preserve">\b[Xx\*#]{5}\d{4}\b</t>
  </si>
  <si>
    <t xml:space="preserve">\b[Xx\*#]{3}[-\s][Xx\*#]{2}[-\s]\d{4}\b</t>
  </si>
  <si>
    <t xml:space="preserve">Mask chars (X/*/#) in place of first 5 digits, dash/space optional</t>
  </si>
  <si>
    <t xml:space="preserve">New — Ready for Alert; promote to Block after burn-in</t>
  </si>
  <si>
    <t xml:space="preserve">Masked forms are distinctive enough standalone. Do NOT add a bare last-4-digit variant with no mask characters — indistinguishable from zip+4/phone tails in this profile type.</t>
  </si>
  <si>
    <t xml:space="preserve">HICN (Legacy)</t>
  </si>
  <si>
    <t xml:space="preserve">Pre-2019 CMS Medicare identifier: 9-digit SSN base + Beneficiary Identification Code (BIC) suffix.</t>
  </si>
  <si>
    <t xml:space="preserve">\b\d{9}(?:A|B9|B[1-9]|B[A-Z]|C[1-9]|C[A-E]|D[1-6]|D|E[1-5]|E|F[1-6]|H[ABC]|J[1-4]|M1|M|T[A-E]|T|W[A-D]|W)\b</t>
  </si>
  <si>
    <t xml:space="preserve">\b\d{3}[- ]?\d{2}[- ]?\d{4}[- ]?(?:A|B9|B[1-9]|B[A-Z]|C[1-9]|C[A-E]|D[1-6]|D|E[1-5]|E|F[1-6]|H[ABC]|J[1-4]|M1|M|T[A-E]|T|W[A-D]|W)\b</t>
  </si>
  <si>
    <t xml:space="preserve">SSN-style (XXX-XX-XXXX) with trailing BIC suffix</t>
  </si>
  <si>
    <t xml:space="preserve">New — Alert-only until validated against a labeled sample</t>
  </si>
  <si>
    <t xml:space="preserve">Regex tightened to CMS's documented finite BIC suffix set (not any 1-2 letters) to reduce SSN collision. Classic Data Filtering has no keyword gate, so this tightening is the only available precision lever. Not zero-collision — do not Block until validated.</t>
  </si>
  <si>
    <t xml:space="preserve">PA File/Data Filtering — Enforcement Coverage Matrix</t>
  </si>
  <si>
    <t xml:space="preserve">Pattern x Device Group/Scope | Status: Block / Alert / TBD / N/A</t>
  </si>
  <si>
    <t xml:space="preserve">Device Group / Scope</t>
  </si>
  <si>
    <t xml:space="preserve">Status</t>
  </si>
  <si>
    <t xml:space="preserve">Basis for Status / Notes</t>
  </si>
  <si>
    <t xml:space="preserve">CVS Panorama (Centrally Managed)</t>
  </si>
  <si>
    <t xml:space="preserve">Alert</t>
  </si>
  <si>
    <t xml:space="preserve">Only DLP profile currently attached to a security policy rule; alert-only per existing build.</t>
  </si>
  <si>
    <t xml:space="preserve">Aetna Panorama Device Groups (Decentralized)</t>
  </si>
  <si>
    <t xml:space="preserve">N/A</t>
  </si>
  <si>
    <t xml:space="preserve">Aetna decrypt disabled — no cleartext payload to inspect regardless of pattern.</t>
  </si>
  <si>
    <t xml:space="preserve">Retail SD-WAN (approx. 10,950 sites)</t>
  </si>
  <si>
    <t xml:space="preserve">No Threat Prevention/Data Filtering platform in path.</t>
  </si>
  <si>
    <t xml:space="preserve">TBD</t>
  </si>
  <si>
    <t xml:space="preserve">Pattern built, not wired to any security policy rule.</t>
  </si>
  <si>
    <t xml:space="preserve">Aetna decrypt disabled — blocked upstream.</t>
  </si>
  <si>
    <t xml:space="preserve">No platform in path.</t>
  </si>
  <si>
    <t xml:space="preserve">Corrected regex set built (PAN-OS-ready CSV), not wired to a security policy rule.</t>
  </si>
  <si>
    <t xml:space="preserve">Pattern built for Skyhigh parity, not wired to a security policy rule.</t>
  </si>
  <si>
    <t xml:space="preserve">New pattern, high precision standalone — ready to wire directly to Block once added to profile.</t>
  </si>
  <si>
    <t xml:space="preserve">New pattern, ready for Alert; promote to Block after burn-in validation.</t>
  </si>
  <si>
    <t xml:space="preserve">New pattern, tightened to known BIC suffix set — Alert-only until validated against a labeled sample; not Block-ready.</t>
  </si>
  <si>
    <t xml:space="preserve">PA File/Data Filtering — Summary Rollup</t>
  </si>
  <si>
    <t xml:space="preserve">Live COUNTIFS rollups against Coverage Matrix — updates automatically if matrix changes</t>
  </si>
  <si>
    <t xml:space="preserve">By Pattern</t>
  </si>
  <si>
    <t xml:space="preserve">Block</t>
  </si>
  <si>
    <t xml:space="preserve">Total</t>
  </si>
  <si>
    <t xml:space="preserve">By Device Group / Scope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</si>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</sst>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CE4D6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6" min="5" style="1" width="34"/>
    <col collapsed="false" customWidth="true" hidden="false" outlineLevel="0" max="7" min="7" style="1" width="30"/>
    <col collapsed="false" customWidth="true" hidden="false" outlineLevel="0" max="8" min="8" style="1" width="20"/>
    <col collapsed="false" customWidth="true" hidden="false" outlineLevel="0" max="9" min="9" style="1" width="30"/>
    <col collapsed="false" customWidth="true" hidden="false" outlineLevel="0" max="10" min="10" style="1" width="4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4.5" hidden="false" customHeight="true" outlineLevel="0" collapsed="false">
      <c r="A5" s="5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 customFormat="false" ht="45.75" hidden="false" customHeight="true" outlineLevel="0" collapsed="false">
      <c r="A6" s="5" t="s">
        <v>22</v>
      </c>
      <c r="B6" s="6" t="s">
        <v>23</v>
      </c>
      <c r="C6" s="6" t="s">
        <v>24</v>
      </c>
      <c r="D6" s="6" t="s">
        <v>15</v>
      </c>
      <c r="E6" s="6" t="s">
        <v>25</v>
      </c>
      <c r="F6" s="6" t="s">
        <v>26</v>
      </c>
      <c r="G6" s="6" t="s">
        <v>27</v>
      </c>
      <c r="H6" s="6" t="s">
        <v>19</v>
      </c>
      <c r="I6" s="6" t="s">
        <v>28</v>
      </c>
      <c r="J6" s="6" t="s">
        <v>29</v>
      </c>
    </row>
    <row r="7" customFormat="false" ht="34.5" hidden="false" customHeight="true" outlineLevel="0" collapsed="false">
      <c r="A7" s="5" t="s">
        <v>30</v>
      </c>
      <c r="B7" s="6" t="s">
        <v>13</v>
      </c>
      <c r="C7" s="6" t="s">
        <v>31</v>
      </c>
      <c r="D7" s="6" t="s">
        <v>15</v>
      </c>
      <c r="E7" s="6" t="s">
        <v>32</v>
      </c>
      <c r="F7" s="6" t="s">
        <v>32</v>
      </c>
      <c r="G7" s="6" t="s">
        <v>33</v>
      </c>
      <c r="H7" s="6" t="s">
        <v>19</v>
      </c>
      <c r="I7" s="6" t="s">
        <v>28</v>
      </c>
      <c r="J7" s="6" t="s">
        <v>34</v>
      </c>
    </row>
    <row r="8" customFormat="false" ht="23.25" hidden="false" customHeight="true" outlineLevel="0" collapsed="false">
      <c r="A8" s="5" t="s">
        <v>35</v>
      </c>
      <c r="B8" s="6" t="s">
        <v>36</v>
      </c>
      <c r="C8" s="6" t="s">
        <v>37</v>
      </c>
      <c r="D8" s="6" t="s">
        <v>15</v>
      </c>
      <c r="E8" s="6" t="s">
        <v>38</v>
      </c>
      <c r="F8" s="6" t="s">
        <v>38</v>
      </c>
      <c r="G8" s="6" t="s">
        <v>39</v>
      </c>
      <c r="H8" s="6" t="s">
        <v>19</v>
      </c>
      <c r="I8" s="6" t="s">
        <v>28</v>
      </c>
      <c r="J8" s="6" t="s">
        <v>40</v>
      </c>
    </row>
    <row r="9" customFormat="false" ht="68.25" hidden="false" customHeight="true" outlineLevel="0" collapsed="false">
      <c r="A9" s="5" t="s">
        <v>41</v>
      </c>
      <c r="B9" s="6" t="s">
        <v>42</v>
      </c>
      <c r="C9" s="6" t="s">
        <v>43</v>
      </c>
      <c r="D9" s="6" t="s">
        <v>15</v>
      </c>
      <c r="E9" s="6" t="s">
        <v>44</v>
      </c>
      <c r="F9" s="6" t="s">
        <v>45</v>
      </c>
      <c r="G9" s="6" t="s">
        <v>46</v>
      </c>
      <c r="H9" s="6" t="s">
        <v>19</v>
      </c>
      <c r="I9" s="6" t="s">
        <v>47</v>
      </c>
      <c r="J9" s="6" t="s">
        <v>48</v>
      </c>
    </row>
    <row r="10" customFormat="false" ht="45.75" hidden="false" customHeight="true" outlineLevel="0" collapsed="false">
      <c r="A10" s="5" t="s">
        <v>49</v>
      </c>
      <c r="B10" s="6" t="s">
        <v>50</v>
      </c>
      <c r="C10" s="6" t="s">
        <v>51</v>
      </c>
      <c r="D10" s="6" t="s">
        <v>15</v>
      </c>
      <c r="E10" s="6" t="s">
        <v>52</v>
      </c>
      <c r="F10" s="6" t="s">
        <v>53</v>
      </c>
      <c r="G10" s="6" t="s">
        <v>54</v>
      </c>
      <c r="H10" s="6" t="s">
        <v>19</v>
      </c>
      <c r="I10" s="6" t="s">
        <v>55</v>
      </c>
      <c r="J10" s="6" t="s">
        <v>56</v>
      </c>
    </row>
    <row r="11" customFormat="false" ht="57" hidden="false" customHeight="true" outlineLevel="0" collapsed="false">
      <c r="A11" s="5" t="s">
        <v>57</v>
      </c>
      <c r="B11" s="6" t="s">
        <v>42</v>
      </c>
      <c r="C11" s="6" t="s">
        <v>58</v>
      </c>
      <c r="D11" s="6" t="s">
        <v>15</v>
      </c>
      <c r="E11" s="6" t="s">
        <v>59</v>
      </c>
      <c r="F11" s="6" t="s">
        <v>60</v>
      </c>
      <c r="G11" s="6" t="s">
        <v>61</v>
      </c>
      <c r="H11" s="6" t="s">
        <v>19</v>
      </c>
      <c r="I11" s="6" t="s">
        <v>62</v>
      </c>
      <c r="J11" s="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64</v>
      </c>
    </row>
    <row r="2" customFormat="false" ht="15" hidden="false" customHeight="true" outlineLevel="0" collapsed="false">
      <c r="A2" s="3" t="s">
        <v>65</v>
      </c>
    </row>
    <row r="4" customFormat="false" ht="15" hidden="false" customHeight="true" outlineLevel="0" collapsed="false">
      <c r="A4" s="4" t="s">
        <v>2</v>
      </c>
      <c r="B4" s="4" t="s">
        <v>66</v>
      </c>
      <c r="C4" s="4" t="s">
        <v>67</v>
      </c>
      <c r="D4" s="4" t="s">
        <v>68</v>
      </c>
    </row>
    <row r="5" customFormat="false" ht="23.25" hidden="false" customHeight="true" outlineLevel="0" collapsed="false">
      <c r="A5" s="6" t="s">
        <v>12</v>
      </c>
      <c r="B5" s="6" t="s">
        <v>69</v>
      </c>
      <c r="C5" s="7" t="s">
        <v>70</v>
      </c>
      <c r="D5" s="6" t="s">
        <v>71</v>
      </c>
    </row>
    <row r="6" customFormat="false" ht="23.25" hidden="false" customHeight="true" outlineLevel="0" collapsed="false">
      <c r="A6" s="6" t="s">
        <v>12</v>
      </c>
      <c r="B6" s="6" t="s">
        <v>72</v>
      </c>
      <c r="C6" s="8" t="s">
        <v>73</v>
      </c>
      <c r="D6" s="6" t="s">
        <v>74</v>
      </c>
    </row>
    <row r="7" customFormat="false" ht="15" hidden="false" customHeight="true" outlineLevel="0" collapsed="false">
      <c r="A7" s="6" t="s">
        <v>12</v>
      </c>
      <c r="B7" s="6" t="s">
        <v>75</v>
      </c>
      <c r="C7" s="8" t="s">
        <v>73</v>
      </c>
      <c r="D7" s="6" t="s">
        <v>76</v>
      </c>
    </row>
    <row r="8" customFormat="false" ht="15" hidden="false" customHeight="true" outlineLevel="0" collapsed="false">
      <c r="A8" s="6" t="s">
        <v>22</v>
      </c>
      <c r="B8" s="6" t="s">
        <v>69</v>
      </c>
      <c r="C8" s="9" t="s">
        <v>77</v>
      </c>
      <c r="D8" s="6" t="s">
        <v>78</v>
      </c>
    </row>
    <row r="9" customFormat="false" ht="23.25" hidden="false" customHeight="true" outlineLevel="0" collapsed="false">
      <c r="A9" s="6" t="s">
        <v>22</v>
      </c>
      <c r="B9" s="6" t="s">
        <v>72</v>
      </c>
      <c r="C9" s="8" t="s">
        <v>73</v>
      </c>
      <c r="D9" s="6" t="s">
        <v>79</v>
      </c>
    </row>
    <row r="10" customFormat="false" ht="15" hidden="false" customHeight="true" outlineLevel="0" collapsed="false">
      <c r="A10" s="6" t="s">
        <v>22</v>
      </c>
      <c r="B10" s="6" t="s">
        <v>75</v>
      </c>
      <c r="C10" s="8" t="s">
        <v>73</v>
      </c>
      <c r="D10" s="6" t="s">
        <v>80</v>
      </c>
    </row>
    <row r="11" customFormat="false" ht="23.25" hidden="false" customHeight="true" outlineLevel="0" collapsed="false">
      <c r="A11" s="6" t="s">
        <v>30</v>
      </c>
      <c r="B11" s="6" t="s">
        <v>69</v>
      </c>
      <c r="C11" s="9" t="s">
        <v>77</v>
      </c>
      <c r="D11" s="6" t="s">
        <v>81</v>
      </c>
    </row>
    <row r="12" customFormat="false" ht="23.25" hidden="false" customHeight="true" outlineLevel="0" collapsed="false">
      <c r="A12" s="6" t="s">
        <v>30</v>
      </c>
      <c r="B12" s="6" t="s">
        <v>72</v>
      </c>
      <c r="C12" s="8" t="s">
        <v>73</v>
      </c>
      <c r="D12" s="6" t="s">
        <v>79</v>
      </c>
    </row>
    <row r="13" customFormat="false" ht="15" hidden="false" customHeight="true" outlineLevel="0" collapsed="false">
      <c r="A13" s="6" t="s">
        <v>30</v>
      </c>
      <c r="B13" s="6" t="s">
        <v>75</v>
      </c>
      <c r="C13" s="8" t="s">
        <v>73</v>
      </c>
      <c r="D13" s="6" t="s">
        <v>80</v>
      </c>
    </row>
    <row r="14" customFormat="false" ht="15" hidden="false" customHeight="true" outlineLevel="0" collapsed="false">
      <c r="A14" s="6" t="s">
        <v>35</v>
      </c>
      <c r="B14" s="6" t="s">
        <v>69</v>
      </c>
      <c r="C14" s="9" t="s">
        <v>77</v>
      </c>
      <c r="D14" s="6" t="s">
        <v>82</v>
      </c>
    </row>
    <row r="15" customFormat="false" ht="23.25" hidden="false" customHeight="true" outlineLevel="0" collapsed="false">
      <c r="A15" s="6" t="s">
        <v>35</v>
      </c>
      <c r="B15" s="6" t="s">
        <v>72</v>
      </c>
      <c r="C15" s="8" t="s">
        <v>73</v>
      </c>
      <c r="D15" s="6" t="s">
        <v>79</v>
      </c>
    </row>
    <row r="16" customFormat="false" ht="15" hidden="false" customHeight="true" outlineLevel="0" collapsed="false">
      <c r="A16" s="6" t="s">
        <v>35</v>
      </c>
      <c r="B16" s="6" t="s">
        <v>75</v>
      </c>
      <c r="C16" s="8" t="s">
        <v>73</v>
      </c>
      <c r="D16" s="6" t="s">
        <v>80</v>
      </c>
    </row>
    <row r="17" customFormat="false" ht="23.25" hidden="false" customHeight="true" outlineLevel="0" collapsed="false">
      <c r="A17" s="6" t="s">
        <v>41</v>
      </c>
      <c r="B17" s="6" t="s">
        <v>69</v>
      </c>
      <c r="C17" s="9" t="s">
        <v>77</v>
      </c>
      <c r="D17" s="6" t="s">
        <v>83</v>
      </c>
    </row>
    <row r="18" customFormat="false" ht="23.25" hidden="false" customHeight="true" outlineLevel="0" collapsed="false">
      <c r="A18" s="6" t="s">
        <v>41</v>
      </c>
      <c r="B18" s="6" t="s">
        <v>72</v>
      </c>
      <c r="C18" s="8" t="s">
        <v>73</v>
      </c>
      <c r="D18" s="6" t="s">
        <v>79</v>
      </c>
    </row>
    <row r="19" customFormat="false" ht="15" hidden="false" customHeight="true" outlineLevel="0" collapsed="false">
      <c r="A19" s="6" t="s">
        <v>41</v>
      </c>
      <c r="B19" s="6" t="s">
        <v>75</v>
      </c>
      <c r="C19" s="8" t="s">
        <v>73</v>
      </c>
      <c r="D19" s="6" t="s">
        <v>80</v>
      </c>
    </row>
    <row r="20" customFormat="false" ht="15" hidden="false" customHeight="true" outlineLevel="0" collapsed="false">
      <c r="A20" s="6" t="s">
        <v>49</v>
      </c>
      <c r="B20" s="6" t="s">
        <v>69</v>
      </c>
      <c r="C20" s="9" t="s">
        <v>77</v>
      </c>
      <c r="D20" s="6" t="s">
        <v>84</v>
      </c>
    </row>
    <row r="21" customFormat="false" ht="23.25" hidden="false" customHeight="true" outlineLevel="0" collapsed="false">
      <c r="A21" s="6" t="s">
        <v>49</v>
      </c>
      <c r="B21" s="6" t="s">
        <v>72</v>
      </c>
      <c r="C21" s="8" t="s">
        <v>73</v>
      </c>
      <c r="D21" s="6" t="s">
        <v>79</v>
      </c>
    </row>
    <row r="22" customFormat="false" ht="15" hidden="false" customHeight="true" outlineLevel="0" collapsed="false">
      <c r="A22" s="6" t="s">
        <v>49</v>
      </c>
      <c r="B22" s="6" t="s">
        <v>75</v>
      </c>
      <c r="C22" s="8" t="s">
        <v>73</v>
      </c>
      <c r="D22" s="6" t="s">
        <v>80</v>
      </c>
    </row>
    <row r="23" customFormat="false" ht="23.25" hidden="false" customHeight="true" outlineLevel="0" collapsed="false">
      <c r="A23" s="6" t="s">
        <v>57</v>
      </c>
      <c r="B23" s="6" t="s">
        <v>69</v>
      </c>
      <c r="C23" s="9" t="s">
        <v>77</v>
      </c>
      <c r="D23" s="6" t="s">
        <v>85</v>
      </c>
    </row>
    <row r="24" customFormat="false" ht="23.25" hidden="false" customHeight="true" outlineLevel="0" collapsed="false">
      <c r="A24" s="6" t="s">
        <v>57</v>
      </c>
      <c r="B24" s="6" t="s">
        <v>72</v>
      </c>
      <c r="C24" s="8" t="s">
        <v>73</v>
      </c>
      <c r="D24" s="6" t="s">
        <v>79</v>
      </c>
    </row>
    <row r="25" customFormat="false" ht="15" hidden="false" customHeight="true" outlineLevel="0" collapsed="false">
      <c r="A25" s="6" t="s">
        <v>57</v>
      </c>
      <c r="B25" s="6" t="s">
        <v>75</v>
      </c>
      <c r="C25" s="8" t="s">
        <v>73</v>
      </c>
      <c r="D25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0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4" customFormat="false" ht="15" hidden="false" customHeight="true" outlineLevel="0" collapsed="false">
      <c r="A4" s="10" t="s">
        <v>88</v>
      </c>
    </row>
    <row r="5" customFormat="false" ht="15" hidden="false" customHeight="true" outlineLevel="0" collapsed="false">
      <c r="A5" s="4" t="s">
        <v>2</v>
      </c>
      <c r="B5" s="4" t="s">
        <v>89</v>
      </c>
      <c r="C5" s="4" t="s">
        <v>70</v>
      </c>
      <c r="D5" s="4" t="s">
        <v>77</v>
      </c>
      <c r="E5" s="4" t="s">
        <v>73</v>
      </c>
      <c r="F5" s="4" t="s">
        <v>90</v>
      </c>
    </row>
    <row r="6" customFormat="false" ht="15" hidden="false" customHeight="true" outlineLevel="0" collapsed="false">
      <c r="A6" s="11" t="s">
        <v>12</v>
      </c>
      <c r="B6" s="12" t="n">
        <f aca="false">COUNTIFS('Coverage Matrix'!$A$5:$A$25,$A6,'Coverage Matrix'!$C$5:$C$25,"Block")</f>
        <v>0</v>
      </c>
      <c r="C6" s="12" t="n">
        <f aca="false">COUNTIFS('Coverage Matrix'!$A$5:$A$25,$A6,'Coverage Matrix'!$C$5:$C$25,"Alert")</f>
        <v>1</v>
      </c>
      <c r="D6" s="12" t="n">
        <f aca="false">COUNTIFS('Coverage Matrix'!$A$5:$A$25,$A6,'Coverage Matrix'!$C$5:$C$25,"TBD")</f>
        <v>0</v>
      </c>
      <c r="E6" s="12" t="n">
        <f aca="false">COUNTIFS('Coverage Matrix'!$A$5:$A$25,$A6,'Coverage Matrix'!$C$5:$C$25,"N/A")</f>
        <v>2</v>
      </c>
      <c r="F6" s="13" t="n">
        <f aca="false">SUM(B6:E6)</f>
        <v>3</v>
      </c>
    </row>
    <row r="7" customFormat="false" ht="15" hidden="false" customHeight="true" outlineLevel="0" collapsed="false">
      <c r="A7" s="11" t="s">
        <v>22</v>
      </c>
      <c r="B7" s="12" t="n">
        <f aca="false">COUNTIFS('Coverage Matrix'!$A$5:$A$25,$A7,'Coverage Matrix'!$C$5:$C$25,"Block")</f>
        <v>0</v>
      </c>
      <c r="C7" s="12" t="n">
        <f aca="false">COUNTIFS('Coverage Matrix'!$A$5:$A$25,$A7,'Coverage Matrix'!$C$5:$C$25,"Alert")</f>
        <v>0</v>
      </c>
      <c r="D7" s="12" t="n">
        <f aca="false">COUNTIFS('Coverage Matrix'!$A$5:$A$25,$A7,'Coverage Matrix'!$C$5:$C$25,"TBD")</f>
        <v>1</v>
      </c>
      <c r="E7" s="12" t="n">
        <f aca="false">COUNTIFS('Coverage Matrix'!$A$5:$A$25,$A7,'Coverage Matrix'!$C$5:$C$25,"N/A")</f>
        <v>2</v>
      </c>
      <c r="F7" s="13" t="n">
        <f aca="false">SUM(B7:E7)</f>
        <v>3</v>
      </c>
    </row>
    <row r="8" customFormat="false" ht="15" hidden="false" customHeight="true" outlineLevel="0" collapsed="false">
      <c r="A8" s="11" t="s">
        <v>30</v>
      </c>
      <c r="B8" s="12" t="n">
        <f aca="false">COUNTIFS('Coverage Matrix'!$A$5:$A$25,$A8,'Coverage Matrix'!$C$5:$C$25,"Block")</f>
        <v>0</v>
      </c>
      <c r="C8" s="12" t="n">
        <f aca="false">COUNTIFS('Coverage Matrix'!$A$5:$A$25,$A8,'Coverage Matrix'!$C$5:$C$25,"Alert")</f>
        <v>0</v>
      </c>
      <c r="D8" s="12" t="n">
        <f aca="false">COUNTIFS('Coverage Matrix'!$A$5:$A$25,$A8,'Coverage Matrix'!$C$5:$C$25,"TBD")</f>
        <v>1</v>
      </c>
      <c r="E8" s="12" t="n">
        <f aca="false">COUNTIFS('Coverage Matrix'!$A$5:$A$25,$A8,'Coverage Matrix'!$C$5:$C$25,"N/A")</f>
        <v>2</v>
      </c>
      <c r="F8" s="13" t="n">
        <f aca="false">SUM(B8:E8)</f>
        <v>3</v>
      </c>
    </row>
    <row r="9" customFormat="false" ht="15" hidden="false" customHeight="true" outlineLevel="0" collapsed="false">
      <c r="A9" s="11" t="s">
        <v>35</v>
      </c>
      <c r="B9" s="12" t="n">
        <f aca="false">COUNTIFS('Coverage Matrix'!$A$5:$A$25,$A9,'Coverage Matrix'!$C$5:$C$25,"Block")</f>
        <v>0</v>
      </c>
      <c r="C9" s="12" t="n">
        <f aca="false">COUNTIFS('Coverage Matrix'!$A$5:$A$25,$A9,'Coverage Matrix'!$C$5:$C$25,"Alert")</f>
        <v>0</v>
      </c>
      <c r="D9" s="12" t="n">
        <f aca="false">COUNTIFS('Coverage Matrix'!$A$5:$A$25,$A9,'Coverage Matrix'!$C$5:$C$25,"TBD")</f>
        <v>1</v>
      </c>
      <c r="E9" s="12" t="n">
        <f aca="false">COUNTIFS('Coverage Matrix'!$A$5:$A$25,$A9,'Coverage Matrix'!$C$5:$C$25,"N/A")</f>
        <v>2</v>
      </c>
      <c r="F9" s="13" t="n">
        <f aca="false">SUM(B9:E9)</f>
        <v>3</v>
      </c>
    </row>
    <row r="10" customFormat="false" ht="15" hidden="false" customHeight="true" outlineLevel="0" collapsed="false">
      <c r="A10" s="11" t="s">
        <v>41</v>
      </c>
      <c r="B10" s="12" t="n">
        <f aca="false">COUNTIFS('Coverage Matrix'!$A$5:$A$25,$A10,'Coverage Matrix'!$C$5:$C$25,"Block")</f>
        <v>0</v>
      </c>
      <c r="C10" s="12" t="n">
        <f aca="false">COUNTIFS('Coverage Matrix'!$A$5:$A$25,$A10,'Coverage Matrix'!$C$5:$C$25,"Alert")</f>
        <v>0</v>
      </c>
      <c r="D10" s="12" t="n">
        <f aca="false">COUNTIFS('Coverage Matrix'!$A$5:$A$25,$A10,'Coverage Matrix'!$C$5:$C$25,"TBD")</f>
        <v>1</v>
      </c>
      <c r="E10" s="12" t="n">
        <f aca="false">COUNTIFS('Coverage Matrix'!$A$5:$A$25,$A10,'Coverage Matrix'!$C$5:$C$25,"N/A")</f>
        <v>2</v>
      </c>
      <c r="F10" s="13" t="n">
        <f aca="false">SUM(B10:E10)</f>
        <v>3</v>
      </c>
    </row>
    <row r="11" customFormat="false" ht="15" hidden="false" customHeight="true" outlineLevel="0" collapsed="false">
      <c r="A11" s="11" t="s">
        <v>49</v>
      </c>
      <c r="B11" s="12" t="n">
        <f aca="false">COUNTIFS('Coverage Matrix'!$A$5:$A$25,$A11,'Coverage Matrix'!$C$5:$C$25,"Block")</f>
        <v>0</v>
      </c>
      <c r="C11" s="12" t="n">
        <f aca="false">COUNTIFS('Coverage Matrix'!$A$5:$A$25,$A11,'Coverage Matrix'!$C$5:$C$25,"Alert")</f>
        <v>0</v>
      </c>
      <c r="D11" s="12" t="n">
        <f aca="false">COUNTIFS('Coverage Matrix'!$A$5:$A$25,$A11,'Coverage Matrix'!$C$5:$C$25,"TBD")</f>
        <v>1</v>
      </c>
      <c r="E11" s="12" t="n">
        <f aca="false">COUNTIFS('Coverage Matrix'!$A$5:$A$25,$A11,'Coverage Matrix'!$C$5:$C$25,"N/A")</f>
        <v>2</v>
      </c>
      <c r="F11" s="13" t="n">
        <f aca="false">SUM(B11:E11)</f>
        <v>3</v>
      </c>
    </row>
    <row r="12" customFormat="false" ht="15" hidden="false" customHeight="true" outlineLevel="0" collapsed="false">
      <c r="A12" s="11" t="s">
        <v>57</v>
      </c>
      <c r="B12" s="12" t="n">
        <f aca="false">COUNTIFS('Coverage Matrix'!$A$5:$A$25,$A12,'Coverage Matrix'!$C$5:$C$25,"Block")</f>
        <v>0</v>
      </c>
      <c r="C12" s="12" t="n">
        <f aca="false">COUNTIFS('Coverage Matrix'!$A$5:$A$25,$A12,'Coverage Matrix'!$C$5:$C$25,"Alert")</f>
        <v>0</v>
      </c>
      <c r="D12" s="12" t="n">
        <f aca="false">COUNTIFS('Coverage Matrix'!$A$5:$A$25,$A12,'Coverage Matrix'!$C$5:$C$25,"TBD")</f>
        <v>1</v>
      </c>
      <c r="E12" s="12" t="n">
        <f aca="false">COUNTIFS('Coverage Matrix'!$A$5:$A$25,$A12,'Coverage Matrix'!$C$5:$C$25,"N/A")</f>
        <v>2</v>
      </c>
      <c r="F12" s="13" t="n">
        <f aca="false">SUM(B12:E12)</f>
        <v>3</v>
      </c>
    </row>
    <row r="14" customFormat="false" ht="15" hidden="false" customHeight="true" outlineLevel="0" collapsed="false">
      <c r="A14" s="10" t="s">
        <v>91</v>
      </c>
    </row>
    <row r="15" customFormat="false" ht="15" hidden="false" customHeight="true" outlineLevel="0" collapsed="false">
      <c r="A15" s="4" t="s">
        <v>66</v>
      </c>
      <c r="B15" s="4" t="s">
        <v>89</v>
      </c>
      <c r="C15" s="4" t="s">
        <v>70</v>
      </c>
      <c r="D15" s="4" t="s">
        <v>77</v>
      </c>
      <c r="E15" s="4" t="s">
        <v>73</v>
      </c>
      <c r="F15" s="4" t="s">
        <v>90</v>
      </c>
    </row>
    <row r="16" customFormat="false" ht="15" hidden="false" customHeight="true" outlineLevel="0" collapsed="false">
      <c r="A16" s="11" t="s">
        <v>69</v>
      </c>
      <c r="B16" s="12" t="n">
        <f aca="false">COUNTIFS('Coverage Matrix'!$B$5:$B$25,$A16,'Coverage Matrix'!$C$5:$C$25,"Block")</f>
        <v>0</v>
      </c>
      <c r="C16" s="12" t="n">
        <f aca="false">COUNTIFS('Coverage Matrix'!$B$5:$B$25,$A16,'Coverage Matrix'!$C$5:$C$25,"Alert")</f>
        <v>1</v>
      </c>
      <c r="D16" s="12" t="n">
        <f aca="false">COUNTIFS('Coverage Matrix'!$B$5:$B$25,$A16,'Coverage Matrix'!$C$5:$C$25,"TBD")</f>
        <v>6</v>
      </c>
      <c r="E16" s="12" t="n">
        <f aca="false">COUNTIFS('Coverage Matrix'!$B$5:$B$25,$A16,'Coverage Matrix'!$C$5:$C$25,"N/A")</f>
        <v>0</v>
      </c>
      <c r="F16" s="13" t="n">
        <f aca="false">SUM(B16:E16)</f>
        <v>7</v>
      </c>
    </row>
    <row r="17" customFormat="false" ht="15" hidden="false" customHeight="true" outlineLevel="0" collapsed="false">
      <c r="A17" s="11" t="s">
        <v>72</v>
      </c>
      <c r="B17" s="12" t="n">
        <f aca="false">COUNTIFS('Coverage Matrix'!$B$5:$B$25,$A17,'Coverage Matrix'!$C$5:$C$25,"Block")</f>
        <v>0</v>
      </c>
      <c r="C17" s="12" t="n">
        <f aca="false">COUNTIFS('Coverage Matrix'!$B$5:$B$25,$A17,'Coverage Matrix'!$C$5:$C$25,"Alert")</f>
        <v>0</v>
      </c>
      <c r="D17" s="12" t="n">
        <f aca="false">COUNTIFS('Coverage Matrix'!$B$5:$B$25,$A17,'Coverage Matrix'!$C$5:$C$25,"TBD")</f>
        <v>0</v>
      </c>
      <c r="E17" s="12" t="n">
        <f aca="false">COUNTIFS('Coverage Matrix'!$B$5:$B$25,$A17,'Coverage Matrix'!$C$5:$C$25,"N/A")</f>
        <v>7</v>
      </c>
      <c r="F17" s="13" t="n">
        <f aca="false">SUM(B17:E17)</f>
        <v>7</v>
      </c>
    </row>
    <row r="18" customFormat="false" ht="15" hidden="false" customHeight="true" outlineLevel="0" collapsed="false">
      <c r="A18" s="11" t="s">
        <v>75</v>
      </c>
      <c r="B18" s="12" t="n">
        <f aca="false">COUNTIFS('Coverage Matrix'!$B$5:$B$25,$A18,'Coverage Matrix'!$C$5:$C$25,"Block")</f>
        <v>0</v>
      </c>
      <c r="C18" s="12" t="n">
        <f aca="false">COUNTIFS('Coverage Matrix'!$B$5:$B$25,$A18,'Coverage Matrix'!$C$5:$C$25,"Alert")</f>
        <v>0</v>
      </c>
      <c r="D18" s="12" t="n">
        <f aca="false">COUNTIFS('Coverage Matrix'!$B$5:$B$25,$A18,'Coverage Matrix'!$C$5:$C$25,"TBD")</f>
        <v>0</v>
      </c>
      <c r="E18" s="12" t="n">
        <f aca="false">COUNTIFS('Coverage Matrix'!$B$5:$B$25,$A18,'Coverage Matrix'!$C$5:$C$25,"N/A")</f>
        <v>7</v>
      </c>
      <c r="F18" s="13" t="n">
        <f aca="false">SUM(B18:E18)</f>
        <v>7</v>
      </c>
    </row>
    <row r="20" customFormat="false" ht="15" hidden="false" customHeight="true" outlineLevel="0" collapsed="false">
      <c r="A20" s="14" t="s">
        <v>92</v>
      </c>
      <c r="B20" s="13" t="n">
        <f aca="false">COUNTIF('Coverage Matrix'!$C$5:$C$25,"Block")</f>
        <v>0</v>
      </c>
      <c r="C20" s="13" t="n">
        <f aca="false">COUNTIF('Coverage Matrix'!$C$5:$C$25,"Alert")</f>
        <v>1</v>
      </c>
      <c r="D20" s="13" t="n">
        <f aca="false">COUNTIF('Coverage Matrix'!$C$5:$C$25,"TBD")</f>
        <v>6</v>
      </c>
      <c r="E20" s="13" t="n">
        <f aca="false">COUNTIF('Coverage Matrix'!$C$5:$C$25,"N/A")</f>
        <v>14</v>
      </c>
      <c r="F20" s="13" t="n">
        <f aca="false">SUM(B20:E20)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2026-08-18T20:46:06Z</dcterms:created>
  <dc:creator>openpyxl</dc:creator>
  <dc:description/>
  <dc:language>en-US</dc:language>
  <cp:lastModifiedBy/>
  <dcterms:modified xsi:type="dcterms:W3CDTF">2026-08-18T20:47:41Z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