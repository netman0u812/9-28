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etnao365.sharepoint.com/sites/DataProtectionPlanBuildTeam/Share Compunnel/Compunnel Project Materials/Compunnel Documents (6-2026)/"/>
    </mc:Choice>
  </mc:AlternateContent>
  <xr:revisionPtr revIDLastSave="51" documentId="13_ncr:1_{23016C7B-62B6-4969-AFA5-51BBF48CDFAD}" xr6:coauthVersionLast="47" xr6:coauthVersionMax="47" xr10:uidLastSave="{0651C403-2AC6-4E89-BFDD-2795D066E148}"/>
  <bookViews>
    <workbookView xWindow="-108" yWindow="-108" windowWidth="23256" windowHeight="12456" tabRatio="500" xr2:uid="{00000000-000D-0000-FFFF-FFFF00000000}"/>
  </bookViews>
  <sheets>
    <sheet name="Pattern Library" sheetId="1" r:id="rId1"/>
    <sheet name="Coverage Matrix" sheetId="2" r:id="rId2"/>
    <sheet name="Summary Rollup"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0" i="3" l="1"/>
  <c r="D20" i="3"/>
  <c r="C20" i="3"/>
  <c r="B20" i="3"/>
  <c r="F20" i="3" s="1"/>
  <c r="E18" i="3"/>
  <c r="D18" i="3"/>
  <c r="C18" i="3"/>
  <c r="B18" i="3"/>
  <c r="F18" i="3" s="1"/>
  <c r="E17" i="3"/>
  <c r="D17" i="3"/>
  <c r="C17" i="3"/>
  <c r="B17" i="3"/>
  <c r="F17" i="3" s="1"/>
  <c r="E16" i="3"/>
  <c r="D16" i="3"/>
  <c r="C16" i="3"/>
  <c r="B16" i="3"/>
  <c r="F16" i="3" s="1"/>
  <c r="E12" i="3"/>
  <c r="D12" i="3"/>
  <c r="C12" i="3"/>
  <c r="B12" i="3"/>
  <c r="F12" i="3" s="1"/>
  <c r="E11" i="3"/>
  <c r="D11" i="3"/>
  <c r="C11" i="3"/>
  <c r="B11" i="3"/>
  <c r="F11" i="3" s="1"/>
  <c r="E10" i="3"/>
  <c r="D10" i="3"/>
  <c r="C10" i="3"/>
  <c r="B10" i="3"/>
  <c r="F10" i="3" s="1"/>
  <c r="E9" i="3"/>
  <c r="D9" i="3"/>
  <c r="C9" i="3"/>
  <c r="B9" i="3"/>
  <c r="F9" i="3" s="1"/>
  <c r="E8" i="3"/>
  <c r="D8" i="3"/>
  <c r="C8" i="3"/>
  <c r="B8" i="3"/>
  <c r="F8" i="3" s="1"/>
  <c r="E7" i="3"/>
  <c r="D7" i="3"/>
  <c r="C7" i="3"/>
  <c r="B7" i="3"/>
  <c r="F7" i="3" s="1"/>
  <c r="E6" i="3"/>
  <c r="D6" i="3"/>
  <c r="C6" i="3"/>
  <c r="B6" i="3"/>
  <c r="F6" i="3" s="1"/>
</calcChain>
</file>

<file path=xl/sharedStrings.xml><?xml version="1.0" encoding="utf-8"?>
<sst xmlns="http://schemas.openxmlformats.org/spreadsheetml/2006/main" count="220" uniqueCount="110">
  <si>
    <t>PA File/Data Filtering — Pattern Library</t>
  </si>
  <si>
    <t>CVS Health CCD Platform Information Security — Skyhigh-to-PA Migration | DLP Pattern Library</t>
  </si>
  <si>
    <t>Pattern Name</t>
  </si>
  <si>
    <t>Category</t>
  </si>
  <si>
    <t>Description</t>
  </si>
  <si>
    <t>File Type</t>
  </si>
  <si>
    <t>Regex - No Separators</t>
  </si>
  <si>
    <t>Regex - With Separators</t>
  </si>
  <si>
    <t>Separator Format Note</t>
  </si>
  <si>
    <t>Profile Type Required</t>
  </si>
  <si>
    <t>Enforcement Readiness</t>
  </si>
  <si>
    <t>Notes / Confidence</t>
  </si>
  <si>
    <t>SSN</t>
  </si>
  <si>
    <t>Government ID</t>
  </si>
  <si>
    <t>Standard 9-digit US Social Security Number.</t>
  </si>
  <si>
    <t>Any</t>
  </si>
  <si>
    <t>\b\d{9}\b</t>
  </si>
  <si>
    <t>\b\d{3}-\d{2}-\d{4}\b</t>
  </si>
  <si>
    <t>Standard XXX-XX-XXXX</t>
  </si>
  <si>
    <t>Classic Data Filtering</t>
  </si>
  <si>
    <t>Built — Alert-only (one profile currently attached to a security policy rule)</t>
  </si>
  <si>
    <t>Already in production as Alert-only. Not yet promoted to Block.</t>
  </si>
  <si>
    <t>PCI (Card Data)</t>
  </si>
  <si>
    <t>Payment Data</t>
  </si>
  <si>
    <t>Primary Account Number (PAN) pattern for major card brands.</t>
  </si>
  <si>
    <t>\b(?:4\d{12}(?:\d{3})?|5[1-5]\d{14}|3[47]\d{13}|6(?:011|5\d{2})\d{12})\b</t>
  </si>
  <si>
    <t>\b(?:4\d{3}[- ]?\d{4}[- ]?\d{4}(?:[- ]?\d{3})?|5[1-5]\d{2}[- ]?\d{4}[- ]?\d{4}[- ]?\d{4}|3[47]\d{2}[- ]?\d{6}[- ]?\d{5}|6(?:011|5\d{2})[- ]?\d{4}[- ]?\d{4}[- ]?\d{4})\b</t>
  </si>
  <si>
    <t>Dash/space-delimited card groupings by brand</t>
  </si>
  <si>
    <t>Built — Not wired to any security policy rule</t>
  </si>
  <si>
    <t>Existing build per prior DLP inventory. No Luhn check in this profile type — expect some false positives on random 15/16-digit numbers.</t>
  </si>
  <si>
    <t>Driver's License - US</t>
  </si>
  <si>
    <t>US state driver's license number formats (built from corrected reference set).</t>
  </si>
  <si>
    <t>(see dedicated DL pattern CSV — state-specific formats)</t>
  </si>
  <si>
    <t>Varies by state</t>
  </si>
  <si>
    <t>Full corrected pattern set lives in separate PAN-OS-ready CSV; reference here for coverage matrix tracking only.</t>
  </si>
  <si>
    <t>Member ID</t>
  </si>
  <si>
    <t>Health Plan ID</t>
  </si>
  <si>
    <t>CVS/Aetna health plan member identifier, required for Skyhigh parity.</t>
  </si>
  <si>
    <t>(see existing Member ID data pattern object)</t>
  </si>
  <si>
    <t>Per existing Skyhigh pattern definition</t>
  </si>
  <si>
    <t>Carried over from Skyhigh parity requirement; regex not redefined in this workstream.</t>
  </si>
  <si>
    <t>MBI (Medicare Beneficiary Identifier)</t>
  </si>
  <si>
    <t>CMS Identifier</t>
  </si>
  <si>
    <t>11-character CMS Medicare Beneficiary Identifier, post-2018 SSNRI format.</t>
  </si>
  <si>
    <t>\b[1-9][ACDEFGHJKMNPQRTUVWXY][ACDEFGHJKMNPQRTUVWXY0-9][0-9][ACDEFGHJKMNPQRTUVWXY][ACDEFGHJKMNPQRTUVWXY0-9][0-9]{2}[ACDEFGHJKMNPQRTUVWXY]{2}[0-9]\b</t>
  </si>
  <si>
    <t>\b[1-9][ACDEFGHJKMNPQRTUVWXY][ACDEFGHJKMNPQRTUVWXY0-9][0-9]-[ACDEFGHJKMNPQRTUVWXY][ACDEFGHJKMNPQRTUVWXY0-9][0-9]{2}-[ACDEFGHJKMNPQRTUVWXY]{2}[0-9]\b</t>
  </si>
  <si>
    <t>4-3-4 hyphenated (e.g., 1EG4-TE5-MK73)</t>
  </si>
  <si>
    <t>New — Ready for Block on introduction</t>
  </si>
  <si>
    <t>High precision standalone. Fixed excluded-letter alphabet (no B/I/L/O/S/Z) + strict positional structure. No proximity keyword needed or available in this profile type.</t>
  </si>
  <si>
    <t>SSN - Masked/Partially Redacted</t>
  </si>
  <si>
    <t>Government ID (Partial)</t>
  </si>
  <si>
    <t>SSN with first 5 digits masked, last 4 exposed (e.g., XXX-XX-1234).</t>
  </si>
  <si>
    <t>\b[Xx\*#]{5}\d{4}\b</t>
  </si>
  <si>
    <t>\b[Xx\*#]{3}[-\s][Xx\*#]{2}[-\s]\d{4}\b</t>
  </si>
  <si>
    <t>Mask chars (X/*/#) in place of first 5 digits, dash/space optional</t>
  </si>
  <si>
    <t>New — Ready for Alert; promote to Block after burn-in</t>
  </si>
  <si>
    <t>Masked forms are distinctive enough standalone. Do NOT add a bare last-4-digit variant with no mask characters — indistinguishable from zip+4/phone tails in this profile type.</t>
  </si>
  <si>
    <t>HICN (Legacy)</t>
  </si>
  <si>
    <t>Pre-2019 CMS Medicare identifier: 9-digit SSN base + Beneficiary Identification Code (BIC) suffix.</t>
  </si>
  <si>
    <t>\b\d{9}(?:A|B9|B[1-9]|B[A-Z]|C[1-9]|C[A-E]|D[1-6]|D|E[1-5]|E|F[1-6]|H[ABC]|J[1-4]|M1|M|T[A-E]|T|W[A-D]|W)\b</t>
  </si>
  <si>
    <t>\b\d{3}[- ]?\d{2}[- ]?\d{4}[- ]?(?:A|B9|B[1-9]|B[A-Z]|C[1-9]|C[A-E]|D[1-6]|D|E[1-5]|E|F[1-6]|H[ABC]|J[1-4]|M1|M|T[A-E]|T|W[A-D]|W)\b</t>
  </si>
  <si>
    <t>SSN-style (XXX-XX-XXXX) with trailing BIC suffix</t>
  </si>
  <si>
    <t>New — Alert-only until validated against a labeled sample</t>
  </si>
  <si>
    <t>Regex tightened to CMS's documented finite BIC suffix set (not any 1-2 letters) to reduce SSN collision. Classic Data Filtering has no keyword gate, so this tightening is the only available precision lever. Not zero-collision — do not Block until validated.</t>
  </si>
  <si>
    <t>PA File/Data Filtering — Enforcement Coverage Matrix</t>
  </si>
  <si>
    <t>Pattern x Device Group/Scope | Status: Block / Alert / TBD / N/A</t>
  </si>
  <si>
    <t>Device Group / Scope</t>
  </si>
  <si>
    <t>Status</t>
  </si>
  <si>
    <t>Basis for Status / Notes</t>
  </si>
  <si>
    <t>CVS Panorama (Centrally Managed)</t>
  </si>
  <si>
    <t>Alert</t>
  </si>
  <si>
    <t>Only DLP profile currently attached to a security policy rule; alert-only per existing build.</t>
  </si>
  <si>
    <t>Aetna Panorama Device Groups (Decentralized)</t>
  </si>
  <si>
    <t>N/A</t>
  </si>
  <si>
    <t>Aetna decrypt disabled — no cleartext payload to inspect regardless of pattern.</t>
  </si>
  <si>
    <t>Retail SD-WAN (approx. 10,950 sites)</t>
  </si>
  <si>
    <t>No Threat Prevention/Data Filtering platform in path.</t>
  </si>
  <si>
    <t>TBD</t>
  </si>
  <si>
    <t>Pattern built, not wired to any security policy rule.</t>
  </si>
  <si>
    <t>Aetna decrypt disabled — blocked upstream.</t>
  </si>
  <si>
    <t>No platform in path.</t>
  </si>
  <si>
    <t>Corrected regex set built (PAN-OS-ready CSV), not wired to a security policy rule.</t>
  </si>
  <si>
    <t>Pattern built for Skyhigh parity, not wired to a security policy rule.</t>
  </si>
  <si>
    <t>New pattern, high precision standalone — ready to wire directly to Block once added to profile.</t>
  </si>
  <si>
    <t>New pattern, ready for Alert; promote to Block after burn-in validation.</t>
  </si>
  <si>
    <t>New pattern, tightened to known BIC suffix set — Alert-only until validated against a labeled sample; not Block-ready.</t>
  </si>
  <si>
    <t>PA File/Data Filtering — Summary Rollup</t>
  </si>
  <si>
    <t>Live COUNTIFS rollups against Coverage Matrix — updates automatically if matrix changes</t>
  </si>
  <si>
    <t>By Pattern</t>
  </si>
  <si>
    <t>Block</t>
  </si>
  <si>
    <t>Total</t>
  </si>
  <si>
    <t>By Device Group / Scope</t>
  </si>
  <si>
    <t>Grand Total</t>
  </si>
  <si>
    <t>Comments</t>
  </si>
  <si>
    <t>May not be required.</t>
  </si>
  <si>
    <t>Recommended to include these Proximity Keyword to be in parity with zscaler.
" ssn "
"SSNS"
"Soc Sec"
"Social Security"
social security number</t>
  </si>
  <si>
    <t>Recommended to include these Proximity Keyword to be in parity with zscaler.
"Medicare HIC"
"Medicare HICN"
" HIC "
"HICN "
"Health Insurance Claim Number"
"HIC Number"
"Medicare Health Insurance Claim Number"
"Medicare HIC Number"
"hic#"
"hicn#"
"hicno#"</t>
  </si>
  <si>
    <t xml:space="preserve"> Azure Access Key Credential</t>
  </si>
  <si>
    <t>Keychain</t>
  </si>
  <si>
    <t>Database File types</t>
  </si>
  <si>
    <t>OST Files</t>
  </si>
  <si>
    <t>Data Pattern need to be created</t>
  </si>
  <si>
    <t xml:space="preserve">Recommended to include these Proximity Keyword to be in parity with zscaler:
"mbi"
"mbi#"
"medicare beneficiary #"
"medicare beneficiary identifier"
"medicare beneficiary no"
"medicare beneficiary number"
"medicare beneficiary#"
</t>
  </si>
  <si>
    <t>Passwords</t>
  </si>
  <si>
    <t xml:space="preserve">Recommended to include these Proximity Keyword to be in parity with zscaler:
American Express, Amex, Master Card, Visa, CVV Code, CVV Number, CVC Code, CVC Number, Select Card Type, Discover, Diners Club, JCB, Pay with checking account, Pay check money order, Credit Card Number, Card holder Name, Expiration Date, UnionPay, Yínlián, 银联, 中国银联, Zhōngguó Yínlián, debit card number, debit card, debit card no., maestro </t>
  </si>
  <si>
    <t>This should be included in the file blocking profile.</t>
  </si>
  <si>
    <t>Missing Item for File Blocking Profile  : File_Blocking_Best_Practice_SP</t>
  </si>
  <si>
    <t>This is present in Zscaler in this disctionary - _PRD_Creds_Azure Access Key (Regex can be taken from here)</t>
  </si>
  <si>
    <t>This below regex is being used in this policy  CVS Health Password Policy in Microsoft Purview-
 (?=[^ \n]*[A-Z]+)(?=[^ \n]*[a-z]+)(?=[^ \n]*[^A-Za-z0-9 \n]+)(?=[^ \n]*[0-9]+)\b[^ \n]{8,20}\n
Proximity Keyword - password
credentials
pwd
psswd
passw
kennwort
passwort
schlüssel
secret
passphrase
Contraseña
Contrasena
passe
code d'accès
clave
密码
[密碼]
mìmǎ
про́пуск
шифр
код
haslo
código
senha
palavra-passe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</si>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</sst>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4"/>
      <color rgb="FF1F3864"/>
      <name val="Arial"/>
      <charset val="1"/>
    </font>
    <font>
      <i/>
      <sz val="9"/>
      <color rgb="FF595959"/>
      <name val="Arial"/>
      <charset val="1"/>
    </font>
    <font>
      <b/>
      <sz val="10"/>
      <color rgb="FFFFFFFF"/>
      <name val="Arial"/>
      <charset val="1"/>
    </font>
    <font>
      <b/>
      <sz val="10"/>
      <name val="Arial"/>
      <charset val="1"/>
    </font>
    <font>
      <sz val="10"/>
      <name val="Arial"/>
      <charset val="1"/>
    </font>
    <font>
      <sz val="11"/>
      <color theme="1"/>
      <name val="Segoe UI"/>
      <family val="2"/>
    </font>
    <font>
      <b/>
      <sz val="11"/>
      <color theme="0"/>
      <name val="Segoe UI"/>
      <family val="2"/>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FEB9C"/>
        <bgColor rgb="FFFCE4D6"/>
      </patternFill>
    </fill>
    <fill>
      <patternFill patternType="solid">
        <fgColor rgb="FFD9D9D9"/>
        <bgColor rgb="FFFCE4D6"/>
      </patternFill>
    </fill>
    <fill>
      <patternFill patternType="solid">
        <fgColor rgb="FFFCE4D6"/>
        <bgColor rgb="FFFFEB9C"/>
      </patternFill>
    </fill>
    <fill>
      <patternFill patternType="solid">
        <fgColor theme="3" tint="-0.249977111117893"/>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indexed="64"/>
      </left>
      <right style="thin">
        <color indexed="64"/>
      </right>
      <top style="thin">
        <color indexed="64"/>
      </top>
      <bottom style="thin">
        <color indexed="64"/>
      </bottom>
      <diagonal/>
    </border>
    <border>
      <left/>
      <right style="medium">
        <color rgb="FFE6E6E6"/>
      </right>
      <top style="medium">
        <color rgb="FFE6E6E6"/>
      </top>
      <bottom style="medium">
        <color rgb="FFE6E6E6"/>
      </bottom>
      <diagonal/>
    </border>
  </borders>
  <cellStyleXfs count="1">
    <xf numFmtId="0" fontId="0" fillId="0" borderId="0"/>
  </cellStyleXfs>
  <cellXfs count="32">
    <xf numFmtId="0" fontId="0" fillId="0" borderId="0" xfId="0"/>
    <xf numFmtId="0" fontId="0" fillId="0" borderId="0" xfId="0" applyAlignment="1"/>
    <xf numFmtId="0" fontId="1" fillId="0" borderId="0" xfId="0" applyFont="1" applyAlignment="1"/>
    <xf numFmtId="0" fontId="2" fillId="0" borderId="0" xfId="0" applyFont="1" applyAlignment="1"/>
    <xf numFmtId="0" fontId="3" fillId="2" borderId="1" xfId="0" applyFont="1" applyFill="1" applyBorder="1" applyAlignment="1">
      <alignment horizontal="center" vertical="center" wrapText="1"/>
    </xf>
    <xf numFmtId="0" fontId="5" fillId="0" borderId="1" xfId="0" applyFont="1" applyBorder="1" applyAlignment="1">
      <alignment vertical="top" wrapText="1"/>
    </xf>
    <xf numFmtId="0" fontId="4" fillId="3" borderId="1" xfId="0" applyFont="1" applyFill="1" applyBorder="1" applyAlignment="1">
      <alignment horizontal="center"/>
    </xf>
    <xf numFmtId="0" fontId="4" fillId="4" borderId="1" xfId="0" applyFont="1" applyFill="1" applyBorder="1" applyAlignment="1">
      <alignment horizontal="center"/>
    </xf>
    <xf numFmtId="0" fontId="4" fillId="5" borderId="1" xfId="0" applyFont="1" applyFill="1" applyBorder="1" applyAlignment="1">
      <alignment horizontal="center"/>
    </xf>
    <xf numFmtId="0" fontId="4" fillId="0" borderId="0" xfId="0" applyFont="1" applyAlignment="1"/>
    <xf numFmtId="0" fontId="5" fillId="0" borderId="1" xfId="0" applyFont="1" applyBorder="1" applyAlignment="1"/>
    <xf numFmtId="0" fontId="5" fillId="0" borderId="1" xfId="0" applyFont="1" applyBorder="1" applyAlignment="1">
      <alignment horizontal="center"/>
    </xf>
    <xf numFmtId="0" fontId="4" fillId="0" borderId="1" xfId="0" applyFont="1" applyBorder="1" applyAlignment="1">
      <alignment horizontal="center"/>
    </xf>
    <xf numFmtId="0" fontId="4" fillId="0" borderId="1" xfId="0" applyFont="1" applyBorder="1" applyAlignment="1"/>
    <xf numFmtId="0" fontId="0" fillId="0" borderId="0" xfId="0" applyAlignment="1">
      <alignment wrapText="1"/>
    </xf>
    <xf numFmtId="0" fontId="4" fillId="0" borderId="0" xfId="0" applyFont="1" applyFill="1" applyBorder="1" applyAlignment="1">
      <alignment vertical="top" wrapText="1"/>
    </xf>
    <xf numFmtId="0" fontId="6" fillId="0" borderId="0" xfId="0" applyFont="1" applyFill="1" applyBorder="1" applyAlignment="1">
      <alignment vertical="center" wrapText="1"/>
    </xf>
    <xf numFmtId="0" fontId="5" fillId="0" borderId="2" xfId="0" applyFont="1" applyBorder="1" applyAlignment="1">
      <alignment vertical="top" wrapText="1"/>
    </xf>
    <xf numFmtId="0" fontId="6" fillId="0" borderId="4" xfId="0" applyFont="1" applyBorder="1" applyAlignment="1">
      <alignment vertical="center" wrapText="1"/>
    </xf>
    <xf numFmtId="0" fontId="7" fillId="6" borderId="3" xfId="0" applyFont="1" applyFill="1" applyBorder="1" applyAlignment="1">
      <alignment vertical="center" wrapText="1"/>
    </xf>
    <xf numFmtId="0" fontId="7" fillId="6" borderId="3" xfId="0" applyFont="1" applyFill="1" applyBorder="1" applyAlignment="1">
      <alignment horizontal="left" vertical="center" wrapText="1"/>
    </xf>
    <xf numFmtId="0" fontId="5" fillId="0" borderId="3" xfId="0" applyFont="1" applyBorder="1" applyAlignment="1">
      <alignment vertical="top" wrapText="1"/>
    </xf>
    <xf numFmtId="0" fontId="3" fillId="2" borderId="3" xfId="0" applyFont="1" applyFill="1" applyBorder="1" applyAlignment="1">
      <alignment horizontal="center" vertical="center" wrapText="1"/>
    </xf>
    <xf numFmtId="0" fontId="4" fillId="0" borderId="3" xfId="0" applyFont="1" applyBorder="1" applyAlignment="1">
      <alignment vertical="top" wrapText="1"/>
    </xf>
    <xf numFmtId="0" fontId="8" fillId="0" borderId="3" xfId="0" applyFont="1" applyFill="1" applyBorder="1" applyAlignment="1">
      <alignment vertical="top" wrapText="1"/>
    </xf>
    <xf numFmtId="0" fontId="5" fillId="0" borderId="3" xfId="0" applyFont="1" applyFill="1" applyBorder="1" applyAlignment="1">
      <alignment vertical="top" wrapText="1"/>
    </xf>
    <xf numFmtId="0" fontId="0" fillId="0" borderId="3" xfId="0" applyBorder="1" applyAlignment="1">
      <alignment vertical="top" wrapText="1"/>
    </xf>
    <xf numFmtId="0" fontId="0" fillId="0" borderId="3" xfId="0" applyBorder="1" applyAlignment="1">
      <alignment wrapText="1"/>
    </xf>
    <xf numFmtId="0" fontId="0" fillId="0" borderId="3" xfId="0" applyBorder="1" applyAlignment="1"/>
    <xf numFmtId="0" fontId="0" fillId="0" borderId="0" xfId="0" applyAlignment="1">
      <alignment vertical="top"/>
    </xf>
    <xf numFmtId="0" fontId="3" fillId="2" borderId="3" xfId="0" applyFont="1" applyFill="1" applyBorder="1" applyAlignment="1">
      <alignment horizontal="center" vertical="top" wrapText="1"/>
    </xf>
    <xf numFmtId="0" fontId="0" fillId="0" borderId="3" xfId="0" applyBorder="1" applyAlignment="1">
      <alignment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tabSelected="1" topLeftCell="A13" zoomScaleNormal="100" workbookViewId="0">
      <pane xSplit="1" topLeftCell="B1" activePane="topRight" state="frozen"/>
      <selection pane="topRight" activeCell="F13" sqref="F13"/>
    </sheetView>
  </sheetViews>
  <sheetFormatPr defaultColWidth="8.6640625" defaultRowHeight="14.4" x14ac:dyDescent="0.3"/>
  <cols>
    <col min="1" max="2" width="33" style="1" customWidth="1"/>
    <col min="3" max="3" width="27.21875" style="1" customWidth="1"/>
    <col min="4" max="4" width="8" style="1" customWidth="1"/>
    <col min="5" max="5" width="29.6640625" style="1" customWidth="1"/>
    <col min="6" max="6" width="34" style="1" customWidth="1"/>
    <col min="7" max="7" width="23.44140625" style="1" customWidth="1"/>
    <col min="8" max="8" width="20" style="1" customWidth="1"/>
    <col min="9" max="9" width="30" style="1" customWidth="1"/>
    <col min="10" max="10" width="44" style="1" customWidth="1"/>
    <col min="11" max="11" width="80.33203125" style="29" customWidth="1"/>
  </cols>
  <sheetData>
    <row r="1" spans="1:11" ht="17.25" customHeight="1" x14ac:dyDescent="0.3">
      <c r="A1" s="2" t="s">
        <v>0</v>
      </c>
    </row>
    <row r="2" spans="1:11" ht="15" customHeight="1" x14ac:dyDescent="0.3">
      <c r="A2" s="3" t="s">
        <v>1</v>
      </c>
    </row>
    <row r="4" spans="1:11" ht="23.25" customHeight="1" x14ac:dyDescent="0.3">
      <c r="A4" s="22" t="s">
        <v>2</v>
      </c>
      <c r="B4" s="22" t="s">
        <v>3</v>
      </c>
      <c r="C4" s="22" t="s">
        <v>4</v>
      </c>
      <c r="D4" s="22" t="s">
        <v>5</v>
      </c>
      <c r="E4" s="22" t="s">
        <v>6</v>
      </c>
      <c r="F4" s="22" t="s">
        <v>7</v>
      </c>
      <c r="G4" s="22" t="s">
        <v>8</v>
      </c>
      <c r="H4" s="22" t="s">
        <v>9</v>
      </c>
      <c r="I4" s="22" t="s">
        <v>10</v>
      </c>
      <c r="J4" s="22" t="s">
        <v>11</v>
      </c>
      <c r="K4" s="30" t="s">
        <v>93</v>
      </c>
    </row>
    <row r="5" spans="1:11" ht="34.5" customHeight="1" x14ac:dyDescent="0.3">
      <c r="A5" s="23" t="s">
        <v>12</v>
      </c>
      <c r="B5" s="21" t="s">
        <v>13</v>
      </c>
      <c r="C5" s="21" t="s">
        <v>14</v>
      </c>
      <c r="D5" s="21" t="s">
        <v>15</v>
      </c>
      <c r="E5" s="21" t="s">
        <v>16</v>
      </c>
      <c r="F5" s="21" t="s">
        <v>17</v>
      </c>
      <c r="G5" s="21" t="s">
        <v>18</v>
      </c>
      <c r="H5" s="21" t="s">
        <v>19</v>
      </c>
      <c r="I5" s="21" t="s">
        <v>20</v>
      </c>
      <c r="J5" s="21" t="s">
        <v>21</v>
      </c>
      <c r="K5" s="31"/>
    </row>
    <row r="6" spans="1:11" ht="91.2" customHeight="1" x14ac:dyDescent="0.3">
      <c r="A6" s="23" t="s">
        <v>22</v>
      </c>
      <c r="B6" s="21" t="s">
        <v>23</v>
      </c>
      <c r="C6" s="21" t="s">
        <v>24</v>
      </c>
      <c r="D6" s="21" t="s">
        <v>15</v>
      </c>
      <c r="E6" s="21" t="s">
        <v>25</v>
      </c>
      <c r="F6" s="21" t="s">
        <v>26</v>
      </c>
      <c r="G6" s="21" t="s">
        <v>27</v>
      </c>
      <c r="H6" s="21" t="s">
        <v>19</v>
      </c>
      <c r="I6" s="21" t="s">
        <v>28</v>
      </c>
      <c r="J6" s="21" t="s">
        <v>29</v>
      </c>
      <c r="K6" s="24" t="s">
        <v>104</v>
      </c>
    </row>
    <row r="7" spans="1:11" ht="24" customHeight="1" x14ac:dyDescent="0.3">
      <c r="A7" s="23" t="s">
        <v>30</v>
      </c>
      <c r="B7" s="21" t="s">
        <v>13</v>
      </c>
      <c r="C7" s="21" t="s">
        <v>31</v>
      </c>
      <c r="D7" s="21" t="s">
        <v>15</v>
      </c>
      <c r="E7" s="21" t="s">
        <v>32</v>
      </c>
      <c r="F7" s="21" t="s">
        <v>32</v>
      </c>
      <c r="G7" s="21" t="s">
        <v>33</v>
      </c>
      <c r="H7" s="21" t="s">
        <v>19</v>
      </c>
      <c r="I7" s="21" t="s">
        <v>28</v>
      </c>
      <c r="J7" s="21" t="s">
        <v>34</v>
      </c>
      <c r="K7" s="25" t="s">
        <v>94</v>
      </c>
    </row>
    <row r="8" spans="1:11" ht="289.2" customHeight="1" x14ac:dyDescent="0.3">
      <c r="A8" s="23" t="s">
        <v>35</v>
      </c>
      <c r="B8" s="21" t="s">
        <v>36</v>
      </c>
      <c r="C8" s="21" t="s">
        <v>37</v>
      </c>
      <c r="D8" s="21" t="s">
        <v>15</v>
      </c>
      <c r="E8" s="21" t="s">
        <v>38</v>
      </c>
      <c r="F8" s="21" t="s">
        <v>38</v>
      </c>
      <c r="G8" s="21" t="s">
        <v>39</v>
      </c>
      <c r="H8" s="21" t="s">
        <v>19</v>
      </c>
      <c r="I8" s="21" t="s">
        <v>28</v>
      </c>
      <c r="J8" s="21" t="s">
        <v>40</v>
      </c>
      <c r="K8" s="24" t="s">
        <v>109</v>
      </c>
    </row>
    <row r="9" spans="1:11" ht="100.8" customHeight="1" x14ac:dyDescent="0.3">
      <c r="A9" s="23" t="s">
        <v>41</v>
      </c>
      <c r="B9" s="21" t="s">
        <v>42</v>
      </c>
      <c r="C9" s="21" t="s">
        <v>43</v>
      </c>
      <c r="D9" s="21" t="s">
        <v>15</v>
      </c>
      <c r="E9" s="21" t="s">
        <v>44</v>
      </c>
      <c r="F9" s="21" t="s">
        <v>45</v>
      </c>
      <c r="G9" s="21" t="s">
        <v>46</v>
      </c>
      <c r="H9" s="21" t="s">
        <v>19</v>
      </c>
      <c r="I9" s="21" t="s">
        <v>47</v>
      </c>
      <c r="J9" s="21" t="s">
        <v>48</v>
      </c>
      <c r="K9" s="26" t="s">
        <v>102</v>
      </c>
    </row>
    <row r="10" spans="1:11" ht="91.8" customHeight="1" x14ac:dyDescent="0.3">
      <c r="A10" s="23" t="s">
        <v>49</v>
      </c>
      <c r="B10" s="21" t="s">
        <v>50</v>
      </c>
      <c r="C10" s="21" t="s">
        <v>51</v>
      </c>
      <c r="D10" s="21" t="s">
        <v>15</v>
      </c>
      <c r="E10" s="21" t="s">
        <v>52</v>
      </c>
      <c r="F10" s="21" t="s">
        <v>53</v>
      </c>
      <c r="G10" s="21" t="s">
        <v>54</v>
      </c>
      <c r="H10" s="21" t="s">
        <v>19</v>
      </c>
      <c r="I10" s="21" t="s">
        <v>55</v>
      </c>
      <c r="J10" s="21" t="s">
        <v>56</v>
      </c>
      <c r="K10" s="26" t="s">
        <v>95</v>
      </c>
    </row>
    <row r="11" spans="1:11" ht="147.6" customHeight="1" x14ac:dyDescent="0.3">
      <c r="A11" s="23" t="s">
        <v>57</v>
      </c>
      <c r="B11" s="21" t="s">
        <v>42</v>
      </c>
      <c r="C11" s="21" t="s">
        <v>58</v>
      </c>
      <c r="D11" s="21" t="s">
        <v>15</v>
      </c>
      <c r="E11" s="21" t="s">
        <v>59</v>
      </c>
      <c r="F11" s="21" t="s">
        <v>60</v>
      </c>
      <c r="G11" s="21" t="s">
        <v>61</v>
      </c>
      <c r="H11" s="21" t="s">
        <v>19</v>
      </c>
      <c r="I11" s="21" t="s">
        <v>62</v>
      </c>
      <c r="J11" s="21" t="s">
        <v>63</v>
      </c>
      <c r="K11" s="26" t="s">
        <v>96</v>
      </c>
    </row>
    <row r="12" spans="1:11" ht="28.8" x14ac:dyDescent="0.3">
      <c r="A12" s="23" t="s">
        <v>97</v>
      </c>
      <c r="B12" s="27" t="s">
        <v>101</v>
      </c>
      <c r="C12" s="28"/>
      <c r="D12" s="28"/>
      <c r="E12" s="28"/>
      <c r="F12" s="28"/>
      <c r="G12" s="28"/>
      <c r="H12" s="28"/>
      <c r="I12" s="28"/>
      <c r="J12" s="28"/>
      <c r="K12" s="26" t="s">
        <v>107</v>
      </c>
    </row>
    <row r="13" spans="1:11" ht="403.2" x14ac:dyDescent="0.3">
      <c r="A13" s="23" t="s">
        <v>103</v>
      </c>
      <c r="B13" s="26" t="s">
        <v>101</v>
      </c>
      <c r="C13" s="31"/>
      <c r="D13" s="31"/>
      <c r="E13" s="31"/>
      <c r="F13" s="31"/>
      <c r="G13" s="31"/>
      <c r="H13" s="31"/>
      <c r="I13" s="31"/>
      <c r="J13" s="31"/>
      <c r="K13" s="26" t="s">
        <v>108</v>
      </c>
    </row>
    <row r="14" spans="1:11" x14ac:dyDescent="0.3">
      <c r="A14" s="15"/>
    </row>
    <row r="15" spans="1:11" ht="15" thickBot="1" x14ac:dyDescent="0.35">
      <c r="A15" s="15"/>
    </row>
    <row r="16" spans="1:11" ht="47.4" customHeight="1" thickBot="1" x14ac:dyDescent="0.35">
      <c r="A16" s="20" t="s">
        <v>106</v>
      </c>
      <c r="B16" s="19" t="s">
        <v>93</v>
      </c>
      <c r="C16" s="18"/>
    </row>
    <row r="17" spans="1:3" ht="27" thickBot="1" x14ac:dyDescent="0.35">
      <c r="A17" s="21" t="s">
        <v>100</v>
      </c>
      <c r="B17" s="21" t="s">
        <v>105</v>
      </c>
      <c r="C17" s="18"/>
    </row>
    <row r="18" spans="1:3" ht="27" thickBot="1" x14ac:dyDescent="0.35">
      <c r="A18" s="21" t="s">
        <v>99</v>
      </c>
      <c r="B18" s="21" t="s">
        <v>105</v>
      </c>
      <c r="C18" s="18"/>
    </row>
    <row r="19" spans="1:3" ht="27" thickBot="1" x14ac:dyDescent="0.35">
      <c r="A19" s="21" t="s">
        <v>98</v>
      </c>
      <c r="B19" s="21" t="s">
        <v>105</v>
      </c>
      <c r="C19" s="18"/>
    </row>
    <row r="20" spans="1:3" x14ac:dyDescent="0.3">
      <c r="A20" s="17"/>
      <c r="B20" s="14"/>
    </row>
    <row r="21" spans="1:3" ht="16.8" x14ac:dyDescent="0.3">
      <c r="A21" s="16"/>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5"/>
  <sheetViews>
    <sheetView zoomScaleNormal="100" workbookViewId="0">
      <pane ySplit="4" topLeftCell="A5" activePane="bottomLeft" state="frozen"/>
      <selection pane="bottomLeft" activeCell="A8" sqref="A8:XFD8"/>
    </sheetView>
  </sheetViews>
  <sheetFormatPr defaultColWidth="8.6640625" defaultRowHeight="14.4" x14ac:dyDescent="0.3"/>
  <cols>
    <col min="1" max="1" width="34" style="1" customWidth="1"/>
    <col min="2" max="2" width="38" style="1" customWidth="1"/>
    <col min="3" max="3" width="10" style="1" customWidth="1"/>
    <col min="4" max="4" width="60" style="1" customWidth="1"/>
  </cols>
  <sheetData>
    <row r="1" spans="1:4" ht="17.25" customHeight="1" x14ac:dyDescent="0.3">
      <c r="A1" s="2" t="s">
        <v>64</v>
      </c>
    </row>
    <row r="2" spans="1:4" ht="15" customHeight="1" x14ac:dyDescent="0.3">
      <c r="A2" s="3" t="s">
        <v>65</v>
      </c>
    </row>
    <row r="4" spans="1:4" ht="15" customHeight="1" x14ac:dyDescent="0.3">
      <c r="A4" s="4" t="s">
        <v>2</v>
      </c>
      <c r="B4" s="4" t="s">
        <v>66</v>
      </c>
      <c r="C4" s="4" t="s">
        <v>67</v>
      </c>
      <c r="D4" s="4" t="s">
        <v>68</v>
      </c>
    </row>
    <row r="5" spans="1:4" ht="23.25" customHeight="1" x14ac:dyDescent="0.3">
      <c r="A5" s="5" t="s">
        <v>12</v>
      </c>
      <c r="B5" s="5" t="s">
        <v>69</v>
      </c>
      <c r="C5" s="6" t="s">
        <v>70</v>
      </c>
      <c r="D5" s="5" t="s">
        <v>71</v>
      </c>
    </row>
    <row r="6" spans="1:4" ht="33" customHeight="1" x14ac:dyDescent="0.3">
      <c r="A6" s="5" t="s">
        <v>12</v>
      </c>
      <c r="B6" s="5" t="s">
        <v>72</v>
      </c>
      <c r="C6" s="7" t="s">
        <v>73</v>
      </c>
      <c r="D6" s="5" t="s">
        <v>74</v>
      </c>
    </row>
    <row r="7" spans="1:4" ht="15" customHeight="1" x14ac:dyDescent="0.3">
      <c r="A7" s="5" t="s">
        <v>12</v>
      </c>
      <c r="B7" s="5" t="s">
        <v>75</v>
      </c>
      <c r="C7" s="7" t="s">
        <v>73</v>
      </c>
      <c r="D7" s="5" t="s">
        <v>76</v>
      </c>
    </row>
    <row r="8" spans="1:4" ht="15" customHeight="1" x14ac:dyDescent="0.3">
      <c r="A8" s="5" t="s">
        <v>22</v>
      </c>
      <c r="B8" s="5" t="s">
        <v>69</v>
      </c>
      <c r="C8" s="8" t="s">
        <v>77</v>
      </c>
      <c r="D8" s="5" t="s">
        <v>78</v>
      </c>
    </row>
    <row r="9" spans="1:4" ht="23.25" customHeight="1" x14ac:dyDescent="0.3">
      <c r="A9" s="5" t="s">
        <v>22</v>
      </c>
      <c r="B9" s="5" t="s">
        <v>72</v>
      </c>
      <c r="C9" s="7" t="s">
        <v>73</v>
      </c>
      <c r="D9" s="5" t="s">
        <v>79</v>
      </c>
    </row>
    <row r="10" spans="1:4" ht="15" customHeight="1" x14ac:dyDescent="0.3">
      <c r="A10" s="5" t="s">
        <v>22</v>
      </c>
      <c r="B10" s="5" t="s">
        <v>75</v>
      </c>
      <c r="C10" s="7" t="s">
        <v>73</v>
      </c>
      <c r="D10" s="5" t="s">
        <v>80</v>
      </c>
    </row>
    <row r="11" spans="1:4" ht="23.25" customHeight="1" x14ac:dyDescent="0.3">
      <c r="A11" s="5" t="s">
        <v>30</v>
      </c>
      <c r="B11" s="5" t="s">
        <v>69</v>
      </c>
      <c r="C11" s="8" t="s">
        <v>77</v>
      </c>
      <c r="D11" s="5" t="s">
        <v>81</v>
      </c>
    </row>
    <row r="12" spans="1:4" ht="23.25" customHeight="1" x14ac:dyDescent="0.3">
      <c r="A12" s="5" t="s">
        <v>30</v>
      </c>
      <c r="B12" s="5" t="s">
        <v>72</v>
      </c>
      <c r="C12" s="7" t="s">
        <v>73</v>
      </c>
      <c r="D12" s="5" t="s">
        <v>79</v>
      </c>
    </row>
    <row r="13" spans="1:4" ht="15" customHeight="1" x14ac:dyDescent="0.3">
      <c r="A13" s="5" t="s">
        <v>30</v>
      </c>
      <c r="B13" s="5" t="s">
        <v>75</v>
      </c>
      <c r="C13" s="7" t="s">
        <v>73</v>
      </c>
      <c r="D13" s="5" t="s">
        <v>80</v>
      </c>
    </row>
    <row r="14" spans="1:4" ht="15" customHeight="1" x14ac:dyDescent="0.3">
      <c r="A14" s="5" t="s">
        <v>35</v>
      </c>
      <c r="B14" s="5" t="s">
        <v>69</v>
      </c>
      <c r="C14" s="8" t="s">
        <v>77</v>
      </c>
      <c r="D14" s="5" t="s">
        <v>82</v>
      </c>
    </row>
    <row r="15" spans="1:4" ht="23.25" customHeight="1" x14ac:dyDescent="0.3">
      <c r="A15" s="5" t="s">
        <v>35</v>
      </c>
      <c r="B15" s="5" t="s">
        <v>72</v>
      </c>
      <c r="C15" s="7" t="s">
        <v>73</v>
      </c>
      <c r="D15" s="5" t="s">
        <v>79</v>
      </c>
    </row>
    <row r="16" spans="1:4" ht="15" customHeight="1" x14ac:dyDescent="0.3">
      <c r="A16" s="5" t="s">
        <v>35</v>
      </c>
      <c r="B16" s="5" t="s">
        <v>75</v>
      </c>
      <c r="C16" s="7" t="s">
        <v>73</v>
      </c>
      <c r="D16" s="5" t="s">
        <v>80</v>
      </c>
    </row>
    <row r="17" spans="1:4" ht="23.25" customHeight="1" x14ac:dyDescent="0.3">
      <c r="A17" s="5" t="s">
        <v>41</v>
      </c>
      <c r="B17" s="5" t="s">
        <v>69</v>
      </c>
      <c r="C17" s="8" t="s">
        <v>77</v>
      </c>
      <c r="D17" s="5" t="s">
        <v>83</v>
      </c>
    </row>
    <row r="18" spans="1:4" ht="23.25" customHeight="1" x14ac:dyDescent="0.3">
      <c r="A18" s="5" t="s">
        <v>41</v>
      </c>
      <c r="B18" s="5" t="s">
        <v>72</v>
      </c>
      <c r="C18" s="7" t="s">
        <v>73</v>
      </c>
      <c r="D18" s="5" t="s">
        <v>79</v>
      </c>
    </row>
    <row r="19" spans="1:4" ht="15" customHeight="1" x14ac:dyDescent="0.3">
      <c r="A19" s="5" t="s">
        <v>41</v>
      </c>
      <c r="B19" s="5" t="s">
        <v>75</v>
      </c>
      <c r="C19" s="7" t="s">
        <v>73</v>
      </c>
      <c r="D19" s="5" t="s">
        <v>80</v>
      </c>
    </row>
    <row r="20" spans="1:4" ht="15" customHeight="1" x14ac:dyDescent="0.3">
      <c r="A20" s="5" t="s">
        <v>49</v>
      </c>
      <c r="B20" s="5" t="s">
        <v>69</v>
      </c>
      <c r="C20" s="8" t="s">
        <v>77</v>
      </c>
      <c r="D20" s="5" t="s">
        <v>84</v>
      </c>
    </row>
    <row r="21" spans="1:4" ht="23.25" customHeight="1" x14ac:dyDescent="0.3">
      <c r="A21" s="5" t="s">
        <v>49</v>
      </c>
      <c r="B21" s="5" t="s">
        <v>72</v>
      </c>
      <c r="C21" s="7" t="s">
        <v>73</v>
      </c>
      <c r="D21" s="5" t="s">
        <v>79</v>
      </c>
    </row>
    <row r="22" spans="1:4" ht="15" customHeight="1" x14ac:dyDescent="0.3">
      <c r="A22" s="5" t="s">
        <v>49</v>
      </c>
      <c r="B22" s="5" t="s">
        <v>75</v>
      </c>
      <c r="C22" s="7" t="s">
        <v>73</v>
      </c>
      <c r="D22" s="5" t="s">
        <v>80</v>
      </c>
    </row>
    <row r="23" spans="1:4" ht="23.25" customHeight="1" x14ac:dyDescent="0.3">
      <c r="A23" s="5" t="s">
        <v>57</v>
      </c>
      <c r="B23" s="5" t="s">
        <v>69</v>
      </c>
      <c r="C23" s="8" t="s">
        <v>77</v>
      </c>
      <c r="D23" s="5" t="s">
        <v>85</v>
      </c>
    </row>
    <row r="24" spans="1:4" ht="23.25" customHeight="1" x14ac:dyDescent="0.3">
      <c r="A24" s="5" t="s">
        <v>57</v>
      </c>
      <c r="B24" s="5" t="s">
        <v>72</v>
      </c>
      <c r="C24" s="7" t="s">
        <v>73</v>
      </c>
      <c r="D24" s="5" t="s">
        <v>79</v>
      </c>
    </row>
    <row r="25" spans="1:4" ht="15" customHeight="1" x14ac:dyDescent="0.3">
      <c r="A25" s="5" t="s">
        <v>57</v>
      </c>
      <c r="B25" s="5" t="s">
        <v>75</v>
      </c>
      <c r="C25" s="7" t="s">
        <v>73</v>
      </c>
      <c r="D25" s="5" t="s">
        <v>80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
  <sheetViews>
    <sheetView zoomScaleNormal="100" workbookViewId="0">
      <pane ySplit="5" topLeftCell="A6" activePane="bottomLeft" state="frozen"/>
      <selection pane="bottomLeft" activeCell="H14" sqref="H14"/>
    </sheetView>
  </sheetViews>
  <sheetFormatPr defaultColWidth="8.6640625" defaultRowHeight="14.4" x14ac:dyDescent="0.3"/>
  <cols>
    <col min="1" max="1" width="40" style="1" customWidth="1"/>
    <col min="2" max="6" width="10" style="1" customWidth="1"/>
  </cols>
  <sheetData>
    <row r="1" spans="1:6" ht="17.25" customHeight="1" x14ac:dyDescent="0.3">
      <c r="A1" s="2" t="s">
        <v>86</v>
      </c>
    </row>
    <row r="2" spans="1:6" ht="15" customHeight="1" x14ac:dyDescent="0.3">
      <c r="A2" s="3" t="s">
        <v>87</v>
      </c>
    </row>
    <row r="4" spans="1:6" ht="15" customHeight="1" x14ac:dyDescent="0.3">
      <c r="A4" s="9" t="s">
        <v>88</v>
      </c>
    </row>
    <row r="5" spans="1:6" ht="15" customHeight="1" x14ac:dyDescent="0.3">
      <c r="A5" s="4" t="s">
        <v>2</v>
      </c>
      <c r="B5" s="4" t="s">
        <v>89</v>
      </c>
      <c r="C5" s="4" t="s">
        <v>70</v>
      </c>
      <c r="D5" s="4" t="s">
        <v>77</v>
      </c>
      <c r="E5" s="4" t="s">
        <v>73</v>
      </c>
      <c r="F5" s="4" t="s">
        <v>90</v>
      </c>
    </row>
    <row r="6" spans="1:6" ht="15" customHeight="1" x14ac:dyDescent="0.3">
      <c r="A6" s="10" t="s">
        <v>12</v>
      </c>
      <c r="B6" s="11">
        <f>COUNTIFS('Coverage Matrix'!$A$5:$A$25,$A6,'Coverage Matrix'!$C$5:$C$25,"Block")</f>
        <v>0</v>
      </c>
      <c r="C6" s="11">
        <f>COUNTIFS('Coverage Matrix'!$A$5:$A$25,$A6,'Coverage Matrix'!$C$5:$C$25,"Alert")</f>
        <v>1</v>
      </c>
      <c r="D6" s="11">
        <f>COUNTIFS('Coverage Matrix'!$A$5:$A$25,$A6,'Coverage Matrix'!$C$5:$C$25,"TBD")</f>
        <v>0</v>
      </c>
      <c r="E6" s="11">
        <f>COUNTIFS('Coverage Matrix'!$A$5:$A$25,$A6,'Coverage Matrix'!$C$5:$C$25,"N/A")</f>
        <v>2</v>
      </c>
      <c r="F6" s="12">
        <f t="shared" ref="F6:F12" si="0">SUM(B6:E6)</f>
        <v>3</v>
      </c>
    </row>
    <row r="7" spans="1:6" ht="15" customHeight="1" x14ac:dyDescent="0.3">
      <c r="A7" s="10" t="s">
        <v>22</v>
      </c>
      <c r="B7" s="11">
        <f>COUNTIFS('Coverage Matrix'!$A$5:$A$25,$A7,'Coverage Matrix'!$C$5:$C$25,"Block")</f>
        <v>0</v>
      </c>
      <c r="C7" s="11">
        <f>COUNTIFS('Coverage Matrix'!$A$5:$A$25,$A7,'Coverage Matrix'!$C$5:$C$25,"Alert")</f>
        <v>0</v>
      </c>
      <c r="D7" s="11">
        <f>COUNTIFS('Coverage Matrix'!$A$5:$A$25,$A7,'Coverage Matrix'!$C$5:$C$25,"TBD")</f>
        <v>1</v>
      </c>
      <c r="E7" s="11">
        <f>COUNTIFS('Coverage Matrix'!$A$5:$A$25,$A7,'Coverage Matrix'!$C$5:$C$25,"N/A")</f>
        <v>2</v>
      </c>
      <c r="F7" s="12">
        <f t="shared" si="0"/>
        <v>3</v>
      </c>
    </row>
    <row r="8" spans="1:6" ht="15" customHeight="1" x14ac:dyDescent="0.3">
      <c r="A8" s="10" t="s">
        <v>30</v>
      </c>
      <c r="B8" s="11">
        <f>COUNTIFS('Coverage Matrix'!$A$5:$A$25,$A8,'Coverage Matrix'!$C$5:$C$25,"Block")</f>
        <v>0</v>
      </c>
      <c r="C8" s="11">
        <f>COUNTIFS('Coverage Matrix'!$A$5:$A$25,$A8,'Coverage Matrix'!$C$5:$C$25,"Alert")</f>
        <v>0</v>
      </c>
      <c r="D8" s="11">
        <f>COUNTIFS('Coverage Matrix'!$A$5:$A$25,$A8,'Coverage Matrix'!$C$5:$C$25,"TBD")</f>
        <v>1</v>
      </c>
      <c r="E8" s="11">
        <f>COUNTIFS('Coverage Matrix'!$A$5:$A$25,$A8,'Coverage Matrix'!$C$5:$C$25,"N/A")</f>
        <v>2</v>
      </c>
      <c r="F8" s="12">
        <f t="shared" si="0"/>
        <v>3</v>
      </c>
    </row>
    <row r="9" spans="1:6" ht="15" customHeight="1" x14ac:dyDescent="0.3">
      <c r="A9" s="10" t="s">
        <v>35</v>
      </c>
      <c r="B9" s="11">
        <f>COUNTIFS('Coverage Matrix'!$A$5:$A$25,$A9,'Coverage Matrix'!$C$5:$C$25,"Block")</f>
        <v>0</v>
      </c>
      <c r="C9" s="11">
        <f>COUNTIFS('Coverage Matrix'!$A$5:$A$25,$A9,'Coverage Matrix'!$C$5:$C$25,"Alert")</f>
        <v>0</v>
      </c>
      <c r="D9" s="11">
        <f>COUNTIFS('Coverage Matrix'!$A$5:$A$25,$A9,'Coverage Matrix'!$C$5:$C$25,"TBD")</f>
        <v>1</v>
      </c>
      <c r="E9" s="11">
        <f>COUNTIFS('Coverage Matrix'!$A$5:$A$25,$A9,'Coverage Matrix'!$C$5:$C$25,"N/A")</f>
        <v>2</v>
      </c>
      <c r="F9" s="12">
        <f t="shared" si="0"/>
        <v>3</v>
      </c>
    </row>
    <row r="10" spans="1:6" ht="15" customHeight="1" x14ac:dyDescent="0.3">
      <c r="A10" s="10" t="s">
        <v>41</v>
      </c>
      <c r="B10" s="11">
        <f>COUNTIFS('Coverage Matrix'!$A$5:$A$25,$A10,'Coverage Matrix'!$C$5:$C$25,"Block")</f>
        <v>0</v>
      </c>
      <c r="C10" s="11">
        <f>COUNTIFS('Coverage Matrix'!$A$5:$A$25,$A10,'Coverage Matrix'!$C$5:$C$25,"Alert")</f>
        <v>0</v>
      </c>
      <c r="D10" s="11">
        <f>COUNTIFS('Coverage Matrix'!$A$5:$A$25,$A10,'Coverage Matrix'!$C$5:$C$25,"TBD")</f>
        <v>1</v>
      </c>
      <c r="E10" s="11">
        <f>COUNTIFS('Coverage Matrix'!$A$5:$A$25,$A10,'Coverage Matrix'!$C$5:$C$25,"N/A")</f>
        <v>2</v>
      </c>
      <c r="F10" s="12">
        <f t="shared" si="0"/>
        <v>3</v>
      </c>
    </row>
    <row r="11" spans="1:6" ht="15" customHeight="1" x14ac:dyDescent="0.3">
      <c r="A11" s="10" t="s">
        <v>49</v>
      </c>
      <c r="B11" s="11">
        <f>COUNTIFS('Coverage Matrix'!$A$5:$A$25,$A11,'Coverage Matrix'!$C$5:$C$25,"Block")</f>
        <v>0</v>
      </c>
      <c r="C11" s="11">
        <f>COUNTIFS('Coverage Matrix'!$A$5:$A$25,$A11,'Coverage Matrix'!$C$5:$C$25,"Alert")</f>
        <v>0</v>
      </c>
      <c r="D11" s="11">
        <f>COUNTIFS('Coverage Matrix'!$A$5:$A$25,$A11,'Coverage Matrix'!$C$5:$C$25,"TBD")</f>
        <v>1</v>
      </c>
      <c r="E11" s="11">
        <f>COUNTIFS('Coverage Matrix'!$A$5:$A$25,$A11,'Coverage Matrix'!$C$5:$C$25,"N/A")</f>
        <v>2</v>
      </c>
      <c r="F11" s="12">
        <f t="shared" si="0"/>
        <v>3</v>
      </c>
    </row>
    <row r="12" spans="1:6" ht="15" customHeight="1" x14ac:dyDescent="0.3">
      <c r="A12" s="10" t="s">
        <v>57</v>
      </c>
      <c r="B12" s="11">
        <f>COUNTIFS('Coverage Matrix'!$A$5:$A$25,$A12,'Coverage Matrix'!$C$5:$C$25,"Block")</f>
        <v>0</v>
      </c>
      <c r="C12" s="11">
        <f>COUNTIFS('Coverage Matrix'!$A$5:$A$25,$A12,'Coverage Matrix'!$C$5:$C$25,"Alert")</f>
        <v>0</v>
      </c>
      <c r="D12" s="11">
        <f>COUNTIFS('Coverage Matrix'!$A$5:$A$25,$A12,'Coverage Matrix'!$C$5:$C$25,"TBD")</f>
        <v>1</v>
      </c>
      <c r="E12" s="11">
        <f>COUNTIFS('Coverage Matrix'!$A$5:$A$25,$A12,'Coverage Matrix'!$C$5:$C$25,"N/A")</f>
        <v>2</v>
      </c>
      <c r="F12" s="12">
        <f t="shared" si="0"/>
        <v>3</v>
      </c>
    </row>
    <row r="14" spans="1:6" ht="15" customHeight="1" x14ac:dyDescent="0.3">
      <c r="A14" s="9" t="s">
        <v>91</v>
      </c>
    </row>
    <row r="15" spans="1:6" ht="15" customHeight="1" x14ac:dyDescent="0.3">
      <c r="A15" s="4" t="s">
        <v>66</v>
      </c>
      <c r="B15" s="4" t="s">
        <v>89</v>
      </c>
      <c r="C15" s="4" t="s">
        <v>70</v>
      </c>
      <c r="D15" s="4" t="s">
        <v>77</v>
      </c>
      <c r="E15" s="4" t="s">
        <v>73</v>
      </c>
      <c r="F15" s="4" t="s">
        <v>90</v>
      </c>
    </row>
    <row r="16" spans="1:6" ht="15" customHeight="1" x14ac:dyDescent="0.3">
      <c r="A16" s="10" t="s">
        <v>69</v>
      </c>
      <c r="B16" s="11">
        <f>COUNTIFS('Coverage Matrix'!$B$5:$B$25,$A16,'Coverage Matrix'!$C$5:$C$25,"Block")</f>
        <v>0</v>
      </c>
      <c r="C16" s="11">
        <f>COUNTIFS('Coverage Matrix'!$B$5:$B$25,$A16,'Coverage Matrix'!$C$5:$C$25,"Alert")</f>
        <v>1</v>
      </c>
      <c r="D16" s="11">
        <f>COUNTIFS('Coverage Matrix'!$B$5:$B$25,$A16,'Coverage Matrix'!$C$5:$C$25,"TBD")</f>
        <v>6</v>
      </c>
      <c r="E16" s="11">
        <f>COUNTIFS('Coverage Matrix'!$B$5:$B$25,$A16,'Coverage Matrix'!$C$5:$C$25,"N/A")</f>
        <v>0</v>
      </c>
      <c r="F16" s="12">
        <f>SUM(B16:E16)</f>
        <v>7</v>
      </c>
    </row>
    <row r="17" spans="1:6" ht="15" customHeight="1" x14ac:dyDescent="0.3">
      <c r="A17" s="10" t="s">
        <v>72</v>
      </c>
      <c r="B17" s="11">
        <f>COUNTIFS('Coverage Matrix'!$B$5:$B$25,$A17,'Coverage Matrix'!$C$5:$C$25,"Block")</f>
        <v>0</v>
      </c>
      <c r="C17" s="11">
        <f>COUNTIFS('Coverage Matrix'!$B$5:$B$25,$A17,'Coverage Matrix'!$C$5:$C$25,"Alert")</f>
        <v>0</v>
      </c>
      <c r="D17" s="11">
        <f>COUNTIFS('Coverage Matrix'!$B$5:$B$25,$A17,'Coverage Matrix'!$C$5:$C$25,"TBD")</f>
        <v>0</v>
      </c>
      <c r="E17" s="11">
        <f>COUNTIFS('Coverage Matrix'!$B$5:$B$25,$A17,'Coverage Matrix'!$C$5:$C$25,"N/A")</f>
        <v>7</v>
      </c>
      <c r="F17" s="12">
        <f>SUM(B17:E17)</f>
        <v>7</v>
      </c>
    </row>
    <row r="18" spans="1:6" ht="15" customHeight="1" x14ac:dyDescent="0.3">
      <c r="A18" s="10" t="s">
        <v>75</v>
      </c>
      <c r="B18" s="11">
        <f>COUNTIFS('Coverage Matrix'!$B$5:$B$25,$A18,'Coverage Matrix'!$C$5:$C$25,"Block")</f>
        <v>0</v>
      </c>
      <c r="C18" s="11">
        <f>COUNTIFS('Coverage Matrix'!$B$5:$B$25,$A18,'Coverage Matrix'!$C$5:$C$25,"Alert")</f>
        <v>0</v>
      </c>
      <c r="D18" s="11">
        <f>COUNTIFS('Coverage Matrix'!$B$5:$B$25,$A18,'Coverage Matrix'!$C$5:$C$25,"TBD")</f>
        <v>0</v>
      </c>
      <c r="E18" s="11">
        <f>COUNTIFS('Coverage Matrix'!$B$5:$B$25,$A18,'Coverage Matrix'!$C$5:$C$25,"N/A")</f>
        <v>7</v>
      </c>
      <c r="F18" s="12">
        <f>SUM(B18:E18)</f>
        <v>7</v>
      </c>
    </row>
    <row r="20" spans="1:6" ht="15" customHeight="1" x14ac:dyDescent="0.3">
      <c r="A20" s="13" t="s">
        <v>92</v>
      </c>
      <c r="B20" s="12">
        <f>COUNTIF('Coverage Matrix'!$C$5:$C$25,"Block")</f>
        <v>0</v>
      </c>
      <c r="C20" s="12">
        <f>COUNTIF('Coverage Matrix'!$C$5:$C$25,"Alert")</f>
        <v>1</v>
      </c>
      <c r="D20" s="12">
        <f>COUNTIF('Coverage Matrix'!$C$5:$C$25,"TBD")</f>
        <v>6</v>
      </c>
      <c r="E20" s="12">
        <f>COUNTIF('Coverage Matrix'!$C$5:$C$25,"N/A")</f>
        <v>14</v>
      </c>
      <c r="F20" s="12">
        <f>SUM(B20:E20)</f>
        <v>21</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F260950208B1D46834887491E34ABAA" ma:contentTypeVersion="10" ma:contentTypeDescription="Create a new document." ma:contentTypeScope="" ma:versionID="345dc65c0d4b1313a8475201443e0bec">
  <xsd:schema xmlns:xsd="http://www.w3.org/2001/XMLSchema" xmlns:xs="http://www.w3.org/2001/XMLSchema" xmlns:p="http://schemas.microsoft.com/office/2006/metadata/properties" xmlns:ns2="e2e29522-9f38-4ef2-b168-04f50550323c" xmlns:ns3="1a3f673f-ad36-474c-9bcd-e930838de0c6" targetNamespace="http://schemas.microsoft.com/office/2006/metadata/properties" ma:root="true" ma:fieldsID="0aa94fc18b3b5d75289b4fe7d6f79aca" ns2:_="" ns3:_="">
    <xsd:import namespace="e2e29522-9f38-4ef2-b168-04f50550323c"/>
    <xsd:import namespace="1a3f673f-ad36-474c-9bcd-e930838de0c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e29522-9f38-4ef2-b168-04f5055032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773e5d3-86f4-436a-b35a-a9b626cf631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a3f673f-ad36-474c-9bcd-e930838de0c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7841ab6-9284-4083-9841-4faff49afa10}" ma:internalName="TaxCatchAll" ma:showField="CatchAllData" ma:web="1a3f673f-ad36-474c-9bcd-e930838de0c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2e29522-9f38-4ef2-b168-04f50550323c">
      <Terms xmlns="http://schemas.microsoft.com/office/infopath/2007/PartnerControls"/>
    </lcf76f155ced4ddcb4097134ff3c332f>
    <TaxCatchAll xmlns="1a3f673f-ad36-474c-9bcd-e930838de0c6" xsi:nil="true"/>
  </documentManagement>
</p:properties>
</file>

<file path=customXml/itemProps1.xml><?xml version="1.0" encoding="utf-8"?>
<ds:datastoreItem xmlns:ds="http://schemas.openxmlformats.org/officeDocument/2006/customXml" ds:itemID="{D771907D-1DE5-4DE7-82CA-A21451F543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e29522-9f38-4ef2-b168-04f50550323c"/>
    <ds:schemaRef ds:uri="1a3f673f-ad36-474c-9bcd-e930838de0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5451E65-83DD-4E7F-AD69-225C1CA0B6D3}">
  <ds:schemaRefs>
    <ds:schemaRef ds:uri="http://schemas.microsoft.com/sharepoint/v3/contenttype/forms"/>
  </ds:schemaRefs>
</ds:datastoreItem>
</file>

<file path=customXml/itemProps3.xml><?xml version="1.0" encoding="utf-8"?>
<ds:datastoreItem xmlns:ds="http://schemas.openxmlformats.org/officeDocument/2006/customXml" ds:itemID="{E298F315-9CD9-4831-B019-8A30452B385E}">
  <ds:schemaRefs>
    <ds:schemaRef ds:uri="http://purl.org/dc/dcmitype/"/>
    <ds:schemaRef ds:uri="http://schemas.microsoft.com/office/2006/metadata/properties"/>
    <ds:schemaRef ds:uri="http://schemas.microsoft.com/office/infopath/2007/PartnerControls"/>
    <ds:schemaRef ds:uri="http://schemas.microsoft.com/office/2006/documentManagement/types"/>
    <ds:schemaRef ds:uri="http://purl.org/dc/elements/1.1/"/>
    <ds:schemaRef ds:uri="e2e29522-9f38-4ef2-b168-04f50550323c"/>
    <ds:schemaRef ds:uri="http://schemas.openxmlformats.org/package/2006/metadata/core-properties"/>
    <ds:schemaRef ds:uri="http://purl.org/dc/terms/"/>
    <ds:schemaRef ds:uri="1a3f673f-ad36-474c-9bcd-e930838de0c6"/>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Pattern Library</vt:lpstr>
      <vt:lpstr>Coverage Matrix</vt:lpstr>
      <vt:lpstr>Summary Rollup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Siroya, Pranay</cp:lastModifiedBy>
  <cp:revision>0</cp:revision>
  <dcterms:created xsi:type="dcterms:W3CDTF">2026-08-18T20:46:06Z</dcterms:created>
  <dcterms:modified xsi:type="dcterms:W3CDTF">2026-09-17T16:08:09Z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cdf243-b9b0-4f63-8694-76742e4201b7_Enabled">
    <vt:lpwstr>true</vt:lpwstr>
  </property>
  <property fmtid="{D5CDD505-2E9C-101B-9397-08002B2CF9AE}" pid="3" name="MSIP_Label_1ecdf243-b9b0-4f63-8694-76742e4201b7_SetDate">
    <vt:lpwstr>2026-08-24T19:56:47Z</vt:lpwstr>
  </property>
  <property fmtid="{D5CDD505-2E9C-101B-9397-08002B2CF9AE}" pid="4" name="MSIP_Label_1ecdf243-b9b0-4f63-8694-76742e4201b7_Method">
    <vt:lpwstr>Standard</vt:lpwstr>
  </property>
  <property fmtid="{D5CDD505-2E9C-101B-9397-08002B2CF9AE}" pid="5" name="MSIP_Label_1ecdf243-b9b0-4f63-8694-76742e4201b7_Name">
    <vt:lpwstr>Proprietary general</vt:lpwstr>
  </property>
  <property fmtid="{D5CDD505-2E9C-101B-9397-08002B2CF9AE}" pid="6" name="MSIP_Label_1ecdf243-b9b0-4f63-8694-76742e4201b7_SiteId">
    <vt:lpwstr>fabb61b8-3afe-4e75-b934-a47f782b8cd7</vt:lpwstr>
  </property>
  <property fmtid="{D5CDD505-2E9C-101B-9397-08002B2CF9AE}" pid="7" name="MSIP_Label_1ecdf243-b9b0-4f63-8694-76742e4201b7_ActionId">
    <vt:lpwstr>c09a6244-0adc-4210-8bdb-31871d97342b</vt:lpwstr>
  </property>
  <property fmtid="{D5CDD505-2E9C-101B-9397-08002B2CF9AE}" pid="8" name="MSIP_Label_1ecdf243-b9b0-4f63-8694-76742e4201b7_ContentBits">
    <vt:lpwstr>0</vt:lpwstr>
  </property>
  <property fmtid="{D5CDD505-2E9C-101B-9397-08002B2CF9AE}" pid="9" name="MSIP_Label_1ecdf243-b9b0-4f63-8694-76742e4201b7_Tag">
    <vt:lpwstr>10, 3, 0, 1</vt:lpwstr>
  </property>
  <property fmtid="{D5CDD505-2E9C-101B-9397-08002B2CF9AE}" pid="10" name="ContentTypeId">
    <vt:lpwstr>0x0101009F260950208B1D46834887491E34ABAA</vt:lpwstr>
  </property>
  <property fmtid="{D5CDD505-2E9C-101B-9397-08002B2CF9AE}" pid="11" name="MediaServiceImageTags">
    <vt:lpwstr/>
  </property>
</Properties>
</file>