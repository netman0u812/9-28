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All Policy Rules" sheetId="2" state="visible" r:id="rId4"/>
    <sheet name="PA Deployment Recommendations" sheetId="3" state="visible" r:id="rId5"/>
    <sheet name="Error Handlers (context)" sheetId="4" state="visible" r:id="rId6"/>
    <sheet name="Log Handlers (contex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<sst xmlns="http://schemas.openxmlformats.org/spreadsheetml/2006/main" count="3127" uniqueCount="782">
  <si>
    <t xml:space="preserve">Skyhigh SWG → Palo Alto Equivalency Analysis</t>
  </si>
  <si>
    <t xml:space="preserve">Source: 2026-07-21.backup (Skyhigh SWG 12.2.23 config export, dated 2026-07-17) — full gateway ruleset (gwrs.xml), 376 policy rules across 19 function areas.</t>
  </si>
  <si>
    <t xml:space="preserve">Metric</t>
  </si>
  <si>
    <t xml:space="preserve">Count</t>
  </si>
  <si>
    <t xml:space="preserve">Total policy rules analyzed</t>
  </si>
  <si>
    <t xml:space="preserve">Rules that actually BLOCK</t>
  </si>
  <si>
    <t xml:space="preserve">Rules that LOG ONLY (named as blocking, wired to continue)</t>
  </si>
  <si>
    <t xml:space="preserve">Rules that ALLOW (exit rule group early)</t>
  </si>
  <si>
    <t xml:space="preserve">Rules INACTIVE (disabled, or inside a disabled parent group)</t>
  </si>
  <si>
    <t xml:space="preserve">Function areas analyzed</t>
  </si>
  <si>
    <t xml:space="preserve">Headline findings</t>
  </si>
  <si>
    <t xml:space="preserve">1. CRITICAL — HTTPS Scanning / Certificate Verification: every rule named "Block [certificate condition]" (self-signed, expired, revoked, unknown CA, untrusted CA, weak key exchange, unsafe signature algorithm) is wired to com.scur.mainaction.continue. None of them block. This is the identical governance failure pattern to Alert-All-SPG on the Palo Alto side — config that reads as enforcement and functions as logging.</t>
  </si>
  <si>
    <t xml:space="preserve">2. Only 72 of 376 rules (19%) actually block anything. 117 (31%) are Allow-exits and 116 (31%) are log-only continues. The ruleset is, by volume, mostly exceptions and logging rather than enforcement.</t>
  </si>
  <si>
    <t xml:space="preserve">3. Data Loss Prevention w/ICAP (response-direction/inbound DLP) — all 10 rules disabled. Confirms the prior equivalency work's inbound-DLP finding exactly, and there is no direct Palo Alto NGFW equivalent — closing this requires an Enterprise DLP subscription decision, not a rule port.</t>
  </si>
  <si>
    <t xml:space="preserve">4. A rule group literally named "test - loginMSOverride" is live and enabled in the production ruleset. Flag for governance review before using this config as an equivalency baseline for anything cited externally.</t>
  </si>
  <si>
    <t xml:space="preserve">5. URL Filter and Application Control are the most exception-heavy groups (81 and 50 rules respectively) with the widest spread of effective behaviors — both are better rebuilt clean on Palo Alto (App-ID + URL Filtering Profile) than ported rule-for-rule.</t>
  </si>
  <si>
    <t xml:space="preserve">All Policy Rules (376) — sortable/filterable source detail</t>
  </si>
  <si>
    <t xml:space="preserve">Function Area</t>
  </si>
  <si>
    <t xml:space="preserve">Rule Group Path</t>
  </si>
  <si>
    <t xml:space="preserve">Rule Name</t>
  </si>
  <si>
    <t xml:space="preserve">Rule Enabled</t>
  </si>
  <si>
    <t xml:space="preserve">Group Enabled Chain</t>
  </si>
  <si>
    <t xml:space="preserve">Effective Status</t>
  </si>
  <si>
    <t xml:space="preserve">Action ID</t>
  </si>
  <si>
    <t xml:space="preserve">Config ID</t>
  </si>
  <si>
    <t xml:space="preserve">Description</t>
  </si>
  <si>
    <t xml:space="preserve">Troubleshooting</t>
  </si>
  <si>
    <t xml:space="preserve">Bypass source IP</t>
  </si>
  <si>
    <t xml:space="preserve">true</t>
  </si>
  <si>
    <t xml:space="preserve">OTHER: com.scur.mainaction.stopcycle</t>
  </si>
  <si>
    <t xml:space="preserve">com.scur.mainaction.stopcycle</t>
  </si>
  <si>
    <t xml:space="preserve">Bypass policy by source IP</t>
  </si>
  <si>
    <t xml:space="preserve">Bypass Domains in list Troubleshooting Domain Bypass</t>
  </si>
  <si>
    <t xml:space="preserve">test - loginMSOverride</t>
  </si>
  <si>
    <t xml:space="preserve">HTTP2_byapss_login-microsoftonline</t>
  </si>
  <si>
    <t xml:space="preserve">LOG-ONLY (continue)</t>
  </si>
  <si>
    <t xml:space="preserve">com.scur.mainaction.continue</t>
  </si>
  <si>
    <t xml:space="preserve">HTTP2_byapss_login.microsoftonline.com</t>
  </si>
  <si>
    <t xml:space="preserve">Common Rules</t>
  </si>
  <si>
    <t xml:space="preserve">Categorize em All</t>
  </si>
  <si>
    <t xml:space="preserve">Ensure categories show up in all log messages</t>
  </si>
  <si>
    <t xml:space="preserve">Enforce compression based on server response</t>
  </si>
  <si>
    <t xml:space="preserve">Common Rules &gt; Http 1.1</t>
  </si>
  <si>
    <t xml:space="preserve">Http 1.1</t>
  </si>
  <si>
    <t xml:space="preserve">true,true</t>
  </si>
  <si>
    <t xml:space="preserve">Force specific IP's from 1.0 to 1.1 for konghq.com. Contact: Hanumanthaiah, MohanKumar &lt;MohanKumar.H@CVSHealth.com&gt;. 
We have identified that the response received from Proxy is HTTP /1.0  but Kong Gateway is expecting the response in HTTP/1.1 and Kong gateway doesn’t support HTTP/1.0 hence we are getting the bad request response.</t>
  </si>
  <si>
    <t xml:space="preserve">Common Rules &gt; Restrict CONNECT Ports</t>
  </si>
  <si>
    <t xml:space="preserve">Block Destination Ports for CONNECT: Blocked Ports</t>
  </si>
  <si>
    <t xml:space="preserve">BLOCKING</t>
  </si>
  <si>
    <t xml:space="preserve">com.scur.mainaction.block</t>
  </si>
  <si>
    <t xml:space="preserve">com.scur.mainaction.block.17096</t>
  </si>
  <si>
    <t xml:space="preserve">Blocks if url port is in list of blocked CONNECT ports.</t>
  </si>
  <si>
    <t xml:space="preserve">Restrict Destination Port to Allowed CONNECT Ports</t>
  </si>
  <si>
    <t xml:space="preserve">ALLOW (exits group)</t>
  </si>
  <si>
    <t xml:space="preserve">com.scur.mainaction.stoprulegroup</t>
  </si>
  <si>
    <t xml:space="preserve">Skip ruleset if it is allowed to CONNECT to Url.Port</t>
  </si>
  <si>
    <t xml:space="preserve">Allow Sending Back HTTPS Block Page</t>
  </si>
  <si>
    <t xml:space="preserve">Blocks URL ports that are not in list of allowed CONNECT ports.</t>
  </si>
  <si>
    <t xml:space="preserve">Common Rules &gt; Bandwidth Control</t>
  </si>
  <si>
    <t xml:space="preserve">Limit Downloads to 400mbps</t>
  </si>
  <si>
    <t xml:space="preserve">Limit Downloads using Bandwidth control classes</t>
  </si>
  <si>
    <t xml:space="preserve">Limit Uploads to 300mbps</t>
  </si>
  <si>
    <t xml:space="preserve">Limit Uploads using Bandwidth control classes</t>
  </si>
  <si>
    <t xml:space="preserve">Common Rules &gt; LAB Only: AETHQ Proxy</t>
  </si>
  <si>
    <t xml:space="preserve">LAB Only: ProxxyGS</t>
  </si>
  <si>
    <t xml:space="preserve">true,false</t>
  </si>
  <si>
    <t xml:space="preserve">INACTIVE (disabled)</t>
  </si>
  <si>
    <t xml:space="preserve">LAB Only: Forward traffic to AETHQ proxies</t>
  </si>
  <si>
    <t xml:space="preserve">Common Rules &gt; Forwarding</t>
  </si>
  <si>
    <t xml:space="preserve">Forward retprd.fisa.nycnet to VPN IP</t>
  </si>
  <si>
    <t xml:space="preserve">Forward wmaccess.homeoffice.wal-mart.com to MPLS B2B IP</t>
  </si>
  <si>
    <t xml:space="preserve">8/21/18 - Still valid</t>
  </si>
  <si>
    <t xml:space="preserve">Forward concentrix wyse to NAT IP</t>
  </si>
  <si>
    <t xml:space="preserve">ph4c3cvcs12v.concentrix.com - VMware Horizon web terminal redirected via NAT
hosts file: 10.108.220.33 ph4c3cvcs12v.concentrix.com
8/21/2018 - Still valid</t>
  </si>
  <si>
    <t xml:space="preserve">Forward hsha.dpw.state.pa.us to hbgfire1</t>
  </si>
  <si>
    <t xml:space="preserve">Forward dpwintra.dpw.state.pa.us to hbgfire1</t>
  </si>
  <si>
    <t xml:space="preserve">8/21/2018 Still valid</t>
  </si>
  <si>
    <t xml:space="preserve">Forward bswiftoutsysdev.com to MPLS IP in PDCHS</t>
  </si>
  <si>
    <t xml:space="preserve">Forward bswiftoutsysdev.com to MPLS IP to bswift dev apps in PDCHS
08/21/2018 - still valid</t>
  </si>
  <si>
    <t xml:space="preserve">redirect carelink.chsli.org to VPN IP</t>
  </si>
  <si>
    <t xml:space="preserve">CHG0333874 12/22/21 Catholic Health Services Long Island</t>
  </si>
  <si>
    <t xml:space="preserve">redirect ews1.chsli.org to VPN IP</t>
  </si>
  <si>
    <t xml:space="preserve">Common Rules &gt; CVS Redirects</t>
  </si>
  <si>
    <t xml:space="preserve">cvs.com domain redirects</t>
  </si>
  <si>
    <t xml:space="preserve">REDIRECT</t>
  </si>
  <si>
    <t xml:space="preserve">com.scur.mainaction.redirect</t>
  </si>
  <si>
    <t xml:space="preserve">com.scur.mainaction.redirect.1655</t>
  </si>
  <si>
    <t xml:space="preserve">com.scur.mainaction.redirect.1583</t>
  </si>
  <si>
    <t xml:space="preserve">com.scur.mainaction.redirect.1584</t>
  </si>
  <si>
    <t xml:space="preserve">caremark.com domain redirects</t>
  </si>
  <si>
    <t xml:space="preserve">com.scur.mainaction.redirect.1616</t>
  </si>
  <si>
    <t xml:space="preserve">Common Rules &gt; Housekeeping</t>
  </si>
  <si>
    <t xml:space="preserve">F5 Health Check</t>
  </si>
  <si>
    <t xml:space="preserve">Remove Via: Header</t>
  </si>
  <si>
    <t xml:space="preserve">This rule removes the 'Via' header.</t>
  </si>
  <si>
    <t xml:space="preserve">Remove X-Forwarded-For: Header</t>
  </si>
  <si>
    <t xml:space="preserve">This rule removes the ' X-Forwarded-For' header.</t>
  </si>
  <si>
    <t xml:space="preserve">Tag DMZ Clients</t>
  </si>
  <si>
    <t xml:space="preserve">Tag PCI Clients</t>
  </si>
  <si>
    <t xml:space="preserve">Tag Interoperability Encalve</t>
  </si>
  <si>
    <t xml:space="preserve">Allow Aetna DMZs</t>
  </si>
  <si>
    <t xml:space="preserve">Allow Essential Domains</t>
  </si>
  <si>
    <t xml:space="preserve">Bypass Firewall Managers from Proxy Checks</t>
  </si>
  <si>
    <t xml:space="preserve">Blocked Hosts</t>
  </si>
  <si>
    <t xml:space="preserve">20422</t>
  </si>
  <si>
    <t xml:space="preserve">RegexBlock</t>
  </si>
  <si>
    <t xml:space="preserve">Block Proxy Names</t>
  </si>
  <si>
    <t xml:space="preserve">Prevent proxy looping</t>
  </si>
  <si>
    <t xml:space="preserve">Non-Webex-RegexBlock on non Webex: Domains</t>
  </si>
  <si>
    <t xml:space="preserve">This rule implements a specific regex block that only needs to happen on domains that are not webex.com, per Dave Crawford - 9/19 Need to leave in place until 700 hosts with outdated chrome webex plugin  identified by security have been identified.</t>
  </si>
  <si>
    <t xml:space="preserve">Proxy Chain from AETT proxy</t>
  </si>
  <si>
    <t xml:space="preserve">Common Rules &gt; Housekeeping &gt; Utilities &gt; Statistics Page</t>
  </si>
  <si>
    <t xml:space="preserve">ResetVersions</t>
  </si>
  <si>
    <t xml:space="preserve">true,true,true,true</t>
  </si>
  <si>
    <t xml:space="preserve">ResetCounters-1</t>
  </si>
  <si>
    <t xml:space="preserve">ResetCounters-2</t>
  </si>
  <si>
    <t xml:space="preserve">ResetCounters-3</t>
  </si>
  <si>
    <t xml:space="preserve">ResetCounters-4</t>
  </si>
  <si>
    <t xml:space="preserve">ResetCounters-5</t>
  </si>
  <si>
    <t xml:space="preserve">System:Statistics</t>
  </si>
  <si>
    <t xml:space="preserve">18726</t>
  </si>
  <si>
    <t xml:space="preserve">Common Rules &gt; Housekeeping &gt; Utilities &gt; Statistics XML</t>
  </si>
  <si>
    <t xml:space="preserve">System:Statistics.xml</t>
  </si>
  <si>
    <t xml:space="preserve">com.scur.mainaction.block.958983948404407</t>
  </si>
  <si>
    <t xml:space="preserve">Common Rules &gt; Google Search Style</t>
  </si>
  <si>
    <t xml:space="preserve">Google: Bypass Google Search Bypass</t>
  </si>
  <si>
    <t xml:space="preserve">Google: Append parameters to search</t>
  </si>
  <si>
    <t xml:space="preserve">YouTube: Safety Mode</t>
  </si>
  <si>
    <t xml:space="preserve">YouTube for Schools Header</t>
  </si>
  <si>
    <t xml:space="preserve">Replace the value with your YouTube assinged school ID.
http://support.google.com/youtube/bin/static.py?hl=en&amp;page=guide.cs&amp;guide=2592683&amp;topic=2592688&amp;answer=2695317</t>
  </si>
  <si>
    <t xml:space="preserve">Common Rules &gt; Geolocation</t>
  </si>
  <si>
    <t xml:space="preserve">Lookup Geolocation</t>
  </si>
  <si>
    <t xml:space="preserve">Category Lookup</t>
  </si>
  <si>
    <t xml:space="preserve">was Geolocation for Uncategorized only</t>
  </si>
  <si>
    <t xml:space="preserve">Bypass URLs That Match in AllowListProd: Domains OR AllowListProd: URLs</t>
  </si>
  <si>
    <t xml:space="preserve">Bypass Thailand Geolocation for SFAllowThailand</t>
  </si>
  <si>
    <t xml:space="preserve">Geolocation.Blocked.Countries</t>
  </si>
  <si>
    <t xml:space="preserve">19005</t>
  </si>
  <si>
    <t xml:space="preserve">Block sites from unwanted countries</t>
  </si>
  <si>
    <t xml:space="preserve">Common Rules &gt; Handle Special Sites</t>
  </si>
  <si>
    <t xml:space="preserve">Bypass Downloads Based on Size (500 MB)</t>
  </si>
  <si>
    <t xml:space="preserve">Allow URLs That Match in List Response Whitelist in Cycle Response</t>
  </si>
  <si>
    <t xml:space="preserve">If URL is in given response whitelist in response cycle, filtering will be bypassed.</t>
  </si>
  <si>
    <t xml:space="preserve">Allow URL Hosts That Match in List Security Update Server List</t>
  </si>
  <si>
    <t xml:space="preserve">If URL is in given update server list, filtering will be bypassed.</t>
  </si>
  <si>
    <t xml:space="preserve">Handle Update Tools That Do Not Support Persistent Connections</t>
  </si>
  <si>
    <t xml:space="preserve">Rules for handling update tools that do not support persistent connections.</t>
  </si>
  <si>
    <t xml:space="preserve">Handle Update Tools That Do Not Support Chunk Encoding</t>
  </si>
  <si>
    <t xml:space="preserve">Rules for handling clients that do not support chunk encoding.</t>
  </si>
  <si>
    <t xml:space="preserve">Common Rules &gt; Set URL Filter Internal Settings</t>
  </si>
  <si>
    <t xml:space="preserve">Set URL Filter Settings to Be Used by Other Filters</t>
  </si>
  <si>
    <t xml:space="preserve">Filters like Anti-Malware or SafeSearchEnforcer are calling the URL filter internally to get some URL filter properties. The event in this rule sets the URL filter settings which will be used in these cases.</t>
  </si>
  <si>
    <t xml:space="preserve">Internal Sites</t>
  </si>
  <si>
    <t xml:space="preserve">Allow specific Internal Allowed Hosts: Domains</t>
  </si>
  <si>
    <t xml:space="preserve">Allow specific Internal Allowed IP: IPRange</t>
  </si>
  <si>
    <t xml:space="preserve">Allow specific Internal Allowed Ports: Number</t>
  </si>
  <si>
    <t xml:space="preserve">Allow specific ports until clients are fixed</t>
  </si>
  <si>
    <t xml:space="preserve">Enclave Block</t>
  </si>
  <si>
    <t xml:space="preserve">com.scur.mainaction.block.958983948401860</t>
  </si>
  <si>
    <t xml:space="preserve">Track Internal Access</t>
  </si>
  <si>
    <t xml:space="preserve">Block access to Internal Networks</t>
  </si>
  <si>
    <t xml:space="preserve">Prevent devices from bouncing off proxy for access to internal devices</t>
  </si>
  <si>
    <t xml:space="preserve">Bypass Microsoft (Office 365) Services</t>
  </si>
  <si>
    <t xml:space="preserve">Bypass o365 bypass rules</t>
  </si>
  <si>
    <t xml:space="preserve">Required for O365 related URLs, domains and categories that should have HTTPS Scanning, Auth, URL Filtering, and Anti-Malware checks.</t>
  </si>
  <si>
    <t xml:space="preserve">Skip Bypass if Content Inspection categrory</t>
  </si>
  <si>
    <t xml:space="preserve">Shortcut Microsoft Service in Response</t>
  </si>
  <si>
    <t xml:space="preserve">Bypass Exchange Online</t>
  </si>
  <si>
    <t xml:space="preserve">Bypass Microsoft Federation Gateway</t>
  </si>
  <si>
    <t xml:space="preserve">Bypass Lync/Skype for Business Online</t>
  </si>
  <si>
    <t xml:space="preserve">Bypass Office 365</t>
  </si>
  <si>
    <t xml:space="preserve">Bypass Office 365 Pro Plus</t>
  </si>
  <si>
    <t xml:space="preserve">Bypass Office 365 remote analyzer tools</t>
  </si>
  <si>
    <t xml:space="preserve">Bypass Office for iPad</t>
  </si>
  <si>
    <t xml:space="preserve">Bypass Office Mobile</t>
  </si>
  <si>
    <t xml:space="preserve">Bypass Office Online</t>
  </si>
  <si>
    <t xml:space="preserve">Bypass Sharepoint Online</t>
  </si>
  <si>
    <t xml:space="preserve">Bypass Yammer</t>
  </si>
  <si>
    <t xml:space="preserve">Web Meeting Services</t>
  </si>
  <si>
    <t xml:space="preserve">Citrix Whitelist Destination IPs</t>
  </si>
  <si>
    <t xml:space="preserve">WebEx Whitelist Destination IPs</t>
  </si>
  <si>
    <t xml:space="preserve">Timeout Extension</t>
  </si>
  <si>
    <t xml:space="preserve">Extended Timeout</t>
  </si>
  <si>
    <t xml:space="preserve">Extends timeout for problematic websites  </t>
  </si>
  <si>
    <t xml:space="preserve">HTTPS Scanning</t>
  </si>
  <si>
    <t xml:space="preserve">WebEx HTTPS Scanning Bypass</t>
  </si>
  <si>
    <t xml:space="preserve">This rule uses the McAfee Maintained Subscribed List for WebEx IP address ranges.</t>
  </si>
  <si>
    <t xml:space="preserve">Citrix HTTPS Scanning Bypass</t>
  </si>
  <si>
    <t xml:space="preserve">This rule uses the McAfee Maintained Subscribed List for Citrix IP address ranges.</t>
  </si>
  <si>
    <t xml:space="preserve">SSL: Bypass Mobile DMZ</t>
  </si>
  <si>
    <t xml:space="preserve">SSL: Bypass Windows Activation Hosts</t>
  </si>
  <si>
    <t xml:space="preserve">SSL: Bypass Windows Update Hosts OR Windows Update User-Agents</t>
  </si>
  <si>
    <t xml:space="preserve">Bypass SSLinspect</t>
  </si>
  <si>
    <t xml:space="preserve">HTTPS Scanning &gt; Handle CONNECT Call</t>
  </si>
  <si>
    <t xml:space="preserve">Set Client Context SHA-256</t>
  </si>
  <si>
    <t xml:space="preserve">Sets Client Context SHA-256</t>
  </si>
  <si>
    <t xml:space="preserve">Set Client Context SHA-1</t>
  </si>
  <si>
    <t xml:space="preserve">LAB Only: Service-now Host Bypass</t>
  </si>
  <si>
    <t xml:space="preserve">Stops the cycle if host is in list of tunneled hosts.</t>
  </si>
  <si>
    <t xml:space="preserve">Tunneled Host Bypass</t>
  </si>
  <si>
    <t xml:space="preserve">SSL Tunnel: Bypass Destination IP</t>
  </si>
  <si>
    <t xml:space="preserve">Stops the cycle if host is in list of Tunneled Destination IP</t>
  </si>
  <si>
    <t xml:space="preserve">Bypass if not in lists:  SSL-Inspect-Cat AND YouTube: Domains AND ProdSSLinspect : Domains</t>
  </si>
  <si>
    <t xml:space="preserve">Enable Certificate Verification</t>
  </si>
  <si>
    <t xml:space="preserve">Enables certificate verification.</t>
  </si>
  <si>
    <t xml:space="preserve">HTTPS Scanning &gt; Certificate Verification - Monitor Only</t>
  </si>
  <si>
    <t xml:space="preserve">Skip Certificate Verification AllowCerts: Domains</t>
  </si>
  <si>
    <t xml:space="preserve">Block Self Signed Certificates</t>
  </si>
  <si>
    <t xml:space="preserve">Blocks if certificate is self signed.</t>
  </si>
  <si>
    <t xml:space="preserve">Block Expired Server (7 Day Tolerance) and Expired CA Certificates</t>
  </si>
  <si>
    <t xml:space="preserve">Blocks if a server or if a certificate has been expired.</t>
  </si>
  <si>
    <t xml:space="preserve">Block Too Long Certificate Chains</t>
  </si>
  <si>
    <t xml:space="preserve">Blocks if a certificate chain is too long.</t>
  </si>
  <si>
    <t xml:space="preserve">Block Revoked Certificates</t>
  </si>
  <si>
    <t xml:space="preserve">Blocks if a certificate chain contains a revoked certificate.</t>
  </si>
  <si>
    <t xml:space="preserve">Paranoid Certificate Chain Verification</t>
  </si>
  <si>
    <t xml:space="preserve">Block Unknown Certificate Authorities</t>
  </si>
  <si>
    <t xml:space="preserve">Blocks if a certificate authoritiy is unknown.</t>
  </si>
  <si>
    <t xml:space="preserve">Block Untrusted Certificate Authorities</t>
  </si>
  <si>
    <t xml:space="preserve">Blocks if a certificate authoritiy is untrusted.</t>
  </si>
  <si>
    <t xml:space="preserve">Block Weak Key Exchange</t>
  </si>
  <si>
    <t xml:space="preserve">Blocks the connection if there is less than 112 bit security</t>
  </si>
  <si>
    <t xml:space="preserve">HTTPS Scanning &gt; Certificate Verification - Monitor Only &gt; Verify Signature Algorithms Monitor Only</t>
  </si>
  <si>
    <t xml:space="preserve">Verify Safe Signature Algorithms</t>
  </si>
  <si>
    <t xml:space="preserve">true,true,true</t>
  </si>
  <si>
    <t xml:space="preserve">Block unsafe Signature Algorithms</t>
  </si>
  <si>
    <t xml:space="preserve">HTTPS Scanning &gt; Certificate Verification - Monitor Only &gt; Verify Common Name Monitor Only</t>
  </si>
  <si>
    <t xml:space="preserve">Allow Matching Host Name</t>
  </si>
  <si>
    <t xml:space="preserve">Allow Wildcard Certificates</t>
  </si>
  <si>
    <t xml:space="preserve">Allow Alternative Common Names</t>
  </si>
  <si>
    <t xml:space="preserve">Block Incident</t>
  </si>
  <si>
    <t xml:space="preserve">HTTPS Scanning &gt; Certificate Verification</t>
  </si>
  <si>
    <t xml:space="preserve">Skip Certificate Verification for ProdVontuSSL: URLs OR ProdVontuSSL: Domains</t>
  </si>
  <si>
    <t xml:space="preserve">com.scur.mainaction.block.17101</t>
  </si>
  <si>
    <t xml:space="preserve">com.scur.mainaction.block.17126</t>
  </si>
  <si>
    <t xml:space="preserve">com.scur.mainaction.block.17100</t>
  </si>
  <si>
    <t xml:space="preserve">com.scur.mainaction.block.17123</t>
  </si>
  <si>
    <t xml:space="preserve">com.scur.mainaction.block.17116</t>
  </si>
  <si>
    <t xml:space="preserve">com.scur.mainaction.block.17118</t>
  </si>
  <si>
    <t xml:space="preserve">HTTPS Scanning &gt; Certificate Verification &gt; Verify Signature Algorithms</t>
  </si>
  <si>
    <t xml:space="preserve">HTTPS Scanning &gt; Certificate Verification &gt; Verify Common Name (Proxy Setup)</t>
  </si>
  <si>
    <t xml:space="preserve">com.scur.mainaction.block.17087</t>
  </si>
  <si>
    <t xml:space="preserve">HTTPS Scanning &gt; Content Inspection</t>
  </si>
  <si>
    <t xml:space="preserve">Skip Content Inspection for ProdVontuSSL: URLs OR ProdVontuSSL: Domains</t>
  </si>
  <si>
    <t xml:space="preserve">Skip Content Inspection for Hosts Found in SSL Inspection Whitelist</t>
  </si>
  <si>
    <t xml:space="preserve">Skip Content Inspection for CN Found in SSL Inspection Whitelist</t>
  </si>
  <si>
    <t xml:space="preserve">Tunnel Connections With Client Certificates</t>
  </si>
  <si>
    <t xml:space="preserve">Enable Content Inspection:   SSL-Inspect-Cat OR YouTube: Domains OR ProdSSLinspect : Domains OR ProdSSLinspect : URLs</t>
  </si>
  <si>
    <t xml:space="preserve">Enable Content Inspection</t>
  </si>
  <si>
    <t xml:space="preserve">HTTPS Scanning &gt; Verify Common Name (Transparent Setup)</t>
  </si>
  <si>
    <t xml:space="preserve">Block If Certificate Is Not in Certificate Whitelist</t>
  </si>
  <si>
    <t xml:space="preserve">Authentication</t>
  </si>
  <si>
    <t xml:space="preserve">Bypass Authentication for Mobile DMZ Networks</t>
  </si>
  <si>
    <t xml:space="preserve">Bypass Authentication for SCOM Devices: IPRange</t>
  </si>
  <si>
    <t xml:space="preserve">Host allowed to Microsoft.com for SCOM Management Pack catalog.  Event SCOMbypass needed to access live.com (blocked by webmail category)</t>
  </si>
  <si>
    <t xml:space="preserve">Bypass Authentication for VDMZ Networks</t>
  </si>
  <si>
    <t xml:space="preserve">Bypass Authentication for CVTY Citrix using CVTY: User-Agent NoAuth List</t>
  </si>
  <si>
    <t xml:space="preserve">Bypass Authentication for NoAuthProd: URLs Group</t>
  </si>
  <si>
    <t xml:space="preserve">Bypass Authentication for Corporate Display Server Twitter Only</t>
  </si>
  <si>
    <t xml:space="preserve">Rule will bypass authenticaiton for server that pulls in Aetna Twitter feeds which are then used on the corporate displays throughout Aetna.</t>
  </si>
  <si>
    <t xml:space="preserve">Bypass Authentication for BigTinCanHosts: IPRange to BigTinCan: Domains Only</t>
  </si>
  <si>
    <t xml:space="preserve">Rule will bypass authenticaiton for server that pulls Debian package updates for Big Tin Can (BTC) server.  Server enables Internet storage locker capabilities for mobile.</t>
  </si>
  <si>
    <t xml:space="preserve">Bypass Authentication for Aetna MSLync: IPRange to Aetna Office365: Domains Only</t>
  </si>
  <si>
    <t xml:space="preserve">Rule will bypass authentication for MS Lync servers that use powershell connecting to Office365 domains.</t>
  </si>
  <si>
    <t xml:space="preserve">Bypass Authentication for vSOC: IPRange to Prod_vSOC_Bypass_Auth: URLs</t>
  </si>
  <si>
    <t xml:space="preserve">Bypass Authentication for Checkpoint: IPRange</t>
  </si>
  <si>
    <t xml:space="preserve">Bypass checkpoint firewall downloads</t>
  </si>
  <si>
    <t xml:space="preserve">Bypass Authentication for ThousandEyes Agents: IP</t>
  </si>
  <si>
    <t xml:space="preserve">LAB Only: Bypass Auth for Openstack Cloud</t>
  </si>
  <si>
    <t xml:space="preserve">Authenticate With NTLM</t>
  </si>
  <si>
    <t xml:space="preserve">AUTH-CHALLENGE</t>
  </si>
  <si>
    <t xml:space="preserve">com.scur.mainaction.authenticate</t>
  </si>
  <si>
    <t xml:space="preserve">com.scur.mainaction.authenticate.17104</t>
  </si>
  <si>
    <t xml:space="preserve">NTLM AUTH</t>
  </si>
  <si>
    <t xml:space="preserve">Enable Opener</t>
  </si>
  <si>
    <t xml:space="preserve">Bypass Based on Size (100 MB)</t>
  </si>
  <si>
    <t xml:space="preserve">Enable Composite Opener</t>
  </si>
  <si>
    <t xml:space="preserve">Block Encrypted Media Types</t>
  </si>
  <si>
    <t xml:space="preserve">com.scur.mainaction.block.17124</t>
  </si>
  <si>
    <t xml:space="preserve">Block Multipart Media Types</t>
  </si>
  <si>
    <t xml:space="preserve">com.scur.mainaction.block.17081</t>
  </si>
  <si>
    <t xml:space="preserve">Block Corrupted MediaTypes</t>
  </si>
  <si>
    <t xml:space="preserve">com.scur.mainaction.block.17090</t>
  </si>
  <si>
    <t xml:space="preserve">URL Filter</t>
  </si>
  <si>
    <t xml:space="preserve">Start stopwatch for URL Filtering</t>
  </si>
  <si>
    <t xml:space="preserve">For rule performance logging</t>
  </si>
  <si>
    <t xml:space="preserve">Track Uncategorized URLs</t>
  </si>
  <si>
    <t xml:space="preserve">Block all URLs that are uncategorized by GTI web database.</t>
  </si>
  <si>
    <t xml:space="preserve">Deny Enterprise Administrators</t>
  </si>
  <si>
    <t xml:space="preserve">com.scur.mainaction.block.958983948399578</t>
  </si>
  <si>
    <t xml:space="preserve">Deny any user ID with Enterprise Admin level privledges</t>
  </si>
  <si>
    <t xml:space="preserve">Allow Web Unlimited to All Sites</t>
  </si>
  <si>
    <t xml:space="preserve">YouTube Allow YouTube: Domains</t>
  </si>
  <si>
    <t xml:space="preserve">Allow Corporate Display Server Twitter Feed</t>
  </si>
  <si>
    <t xml:space="preserve">Rule will allow server that pulls in Aetna Twitter feeds which are then used on the corporate displays throughout Aetna access to the Twitter application.</t>
  </si>
  <si>
    <t xml:space="preserve">Allow SFallowDenyProd to DenyListProdException: Domains &amp; DenyListProdException: URLs</t>
  </si>
  <si>
    <t xml:space="preserve">Allow Members of SFAllowDenyProd to access denied sites</t>
  </si>
  <si>
    <t xml:space="preserve">Block OperationBlock:URLs &amp; OperationBlock:Domains except for "SFallowOperation"</t>
  </si>
  <si>
    <t xml:space="preserve">com.scur.mainaction.block.2234</t>
  </si>
  <si>
    <t xml:space="preserve">Block DenyListProd: URLs &amp; DenyListProd: Domains</t>
  </si>
  <si>
    <t xml:space="preserve">com.scur.mainaction.block.17113</t>
  </si>
  <si>
    <t xml:space="preserve">Block SOCDenyList: Domains &amp; SOCDenyList: URLs</t>
  </si>
  <si>
    <t xml:space="preserve">https://proxyconsole.aetna.com/prod/SOCDenyList.domains.txt</t>
  </si>
  <si>
    <t xml:space="preserve">Block SSNDENYS from ApprovedCloudStorage: Domains</t>
  </si>
  <si>
    <t xml:space="preserve">com.scur.mainaction.block.1094</t>
  </si>
  <si>
    <t xml:space="preserve">SSNDENYS is an AD group of high risk users</t>
  </si>
  <si>
    <t xml:space="preserve">URL Filter &gt; Azure AD Tenant Restrictions</t>
  </si>
  <si>
    <t xml:space="preserve">Find Email Address (login POST data)</t>
  </si>
  <si>
    <t xml:space="preserve">Find Email Domain</t>
  </si>
  <si>
    <t xml:space="preserve">Delete Restrict Access To Tenants Header</t>
  </si>
  <si>
    <t xml:space="preserve">Write Restrict Access to Tenants Header</t>
  </si>
  <si>
    <t xml:space="preserve">Delete Restrict Access Context Header</t>
  </si>
  <si>
    <t xml:space="preserve">URL Filter &gt; WebSocket Handling</t>
  </si>
  <si>
    <t xml:space="preserve">Enable WebSocket handling</t>
  </si>
  <si>
    <t xml:space="preserve">Enable WebSockets for Special Sites (Client Initiated)</t>
  </si>
  <si>
    <t xml:space="preserve">Enable WebSockets for Special Sites (Server Initiated)</t>
  </si>
  <si>
    <t xml:space="preserve">Block WebSockets</t>
  </si>
  <si>
    <t xml:space="preserve">com.scur.mainaction.block.1083</t>
  </si>
  <si>
    <t xml:space="preserve">URL Filter &gt; Strict Search</t>
  </si>
  <si>
    <t xml:space="preserve">Allow SFAllowSerEng with No Strict Safe Search</t>
  </si>
  <si>
    <t xml:space="preserve">Strict Safe Search</t>
  </si>
  <si>
    <t xml:space="preserve">URL Filter &gt; ZZ Accounts</t>
  </si>
  <si>
    <t xml:space="preserve">Allow ZZ Whitelist Prod_zzURL_WhiteList: URLs</t>
  </si>
  <si>
    <t xml:space="preserve">Allow ZZProxyAllow to Category McZZProxyAllow</t>
  </si>
  <si>
    <t xml:space="preserve">Deny ZZ IDs</t>
  </si>
  <si>
    <t xml:space="preserve">URL Filter &gt; Global Allow Rule</t>
  </si>
  <si>
    <t xml:space="preserve">Allow URLs That Match in AllowListProd: Domains OR NoAuthProd: Domains OR AllowListProd: URLs OR NoAuthProd: URLs</t>
  </si>
  <si>
    <t xml:space="preserve">Allow HTTPSAllowListProd: URLs &amp; HTTPSAllowListProd: Domains</t>
  </si>
  <si>
    <t xml:space="preserve">URL Filter &gt; Mobile Enclave</t>
  </si>
  <si>
    <t xml:space="preserve">Permit Mobile DMZ to KonyInetAccess: URLs</t>
  </si>
  <si>
    <t xml:space="preserve">Deny Mobile DMZ to Everything</t>
  </si>
  <si>
    <t xml:space="preserve">URL Filter &gt; PCI Enclave</t>
  </si>
  <si>
    <t xml:space="preserve">Permit PCI_Inet to PCI_Inet_Access: URLs</t>
  </si>
  <si>
    <t xml:space="preserve">Deny PCI_Inet to Everything</t>
  </si>
  <si>
    <t xml:space="preserve">URL Filter &gt; VDMZ</t>
  </si>
  <si>
    <t xml:space="preserve">Allow VDMZ to Prod_Allow_RA: Domains &amp; Prod_Allow_RA: URLs</t>
  </si>
  <si>
    <t xml:space="preserve">Allow VDMZ to VDMZAllowList: Domains &amp;  VDMZAllowList: URLs</t>
  </si>
  <si>
    <t xml:space="preserve">Deny VDMZ to DenyList</t>
  </si>
  <si>
    <t xml:space="preserve">URL Filter &gt; AD Group Access</t>
  </si>
  <si>
    <t xml:space="preserve">Allow SFallowChat&amp;IM to Category McChatIM</t>
  </si>
  <si>
    <t xml:space="preserve">Allow SFallowDownloads to Category McSoftwareDownload</t>
  </si>
  <si>
    <t xml:space="preserve">Allow SfallowEH to Category McHacking</t>
  </si>
  <si>
    <t xml:space="preserve">Allow SFallowGames to Category McGames</t>
  </si>
  <si>
    <t xml:space="preserve">Allow AIChatBot  AIChatBot_Allow</t>
  </si>
  <si>
    <t xml:space="preserve">Exception  to allow for users in AD group AIChatBot_Allow</t>
  </si>
  <si>
    <t xml:space="preserve">Allow SfAllowMature to McAllowMature</t>
  </si>
  <si>
    <t xml:space="preserve">Allow Sfallowmp3 to McAllowMP3</t>
  </si>
  <si>
    <t xml:space="preserve">SFallowmp3 -&gt; McMP3</t>
  </si>
  <si>
    <t xml:space="preserve">Allow SFallowMobPhn to McMobilePhone</t>
  </si>
  <si>
    <t xml:space="preserve">Allow SFallowNetStor to ApprovedCloudStorage: Domains</t>
  </si>
  <si>
    <t xml:space="preserve">Allow SFallowanonimzers to McProxyAvoidance</t>
  </si>
  <si>
    <t xml:space="preserve">Allow SFallowSocMedia to McSocialMedia</t>
  </si>
  <si>
    <t xml:space="preserve">Allow the User Group called "Allow SocialNetworking"</t>
  </si>
  <si>
    <t xml:space="preserve">Allow SFallowWebAcct to McWebMail</t>
  </si>
  <si>
    <t xml:space="preserve">Allow SFAllowWebPhone to McWebPhone</t>
  </si>
  <si>
    <t xml:space="preserve">Allow SFallowSafeSites to Category McSafeSites</t>
  </si>
  <si>
    <t xml:space="preserve">Allow WebTrendsec to List Prod_NoSocMedBanner: Domains &amp; Prod_NoSocMedBanner: URLs</t>
  </si>
  <si>
    <t xml:space="preserve">Allow SFallowRA to Prod_Allow_RA: Domains &amp; Prod_Allow_RA: URLs</t>
  </si>
  <si>
    <t xml:space="preserve">Allow OWAMercyMaricopa to OWAMercyMaricopa: URLs &amp; OWAMercyMaricopa: Domains</t>
  </si>
  <si>
    <t xml:space="preserve">Allow SFAllowIHO365mail to  Prod_InnovH365: Domains</t>
  </si>
  <si>
    <t xml:space="preserve">Allow IGmimecast to list IGmimecast</t>
  </si>
  <si>
    <t xml:space="preserve">CM0008463 - Levasseur</t>
  </si>
  <si>
    <t xml:space="preserve">Allow SFAllowEAPWL to McBehavioralHealth</t>
  </si>
  <si>
    <t xml:space="preserve">Allow SFallowO365 to ProdOffice365: Domains</t>
  </si>
  <si>
    <t xml:space="preserve">Allow SFAllowTeams to Prod_AllowTeams: Domains</t>
  </si>
  <si>
    <t xml:space="preserve">Allow SFShareF to Prod_SharefileAccess: Domains</t>
  </si>
  <si>
    <t xml:space="preserve">Allow HCDS</t>
  </si>
  <si>
    <t xml:space="preserve">URL Filter &gt; Github repo control</t>
  </si>
  <si>
    <t xml:space="preserve">if not in "HTTP_upload_methods"  - Stop ruleset</t>
  </si>
  <si>
    <t xml:space="preserve">
        </t>
  </si>
  <si>
    <t xml:space="preserve">Find org/user/repo name</t>
  </si>
  <si>
    <t xml:space="preserve">BLOCK -  if not in "GithubRepoAllowList URLs" repos AND  "Git mediatypes"</t>
  </si>
  <si>
    <t xml:space="preserve">com.scur.mainaction.block.2752</t>
  </si>
  <si>
    <t xml:space="preserve">This applies to command line traffic
        </t>
  </si>
  <si>
    <t xml:space="preserve">BLOCK  if not in "GithubRepoAllowListURL"  repos AND uses "Github post terms"</t>
  </si>
  <si>
    <t xml:space="preserve">This applies to Browser based traffic only</t>
  </si>
  <si>
    <t xml:space="preserve">URL Filter &gt; CONNECT-METHOD</t>
  </si>
  <si>
    <t xml:space="preserve">Allow CONNECT Method for Prod_ConnectInspect Domains</t>
  </si>
  <si>
    <t xml:space="preserve">Allow CONNECT Method for "Prod_ConnectInspect Domains"</t>
  </si>
  <si>
    <t xml:space="preserve">URL Filter &gt; Global Block Rule</t>
  </si>
  <si>
    <t xml:space="preserve">Blocks URLs With Bad Reputation</t>
  </si>
  <si>
    <t xml:space="preserve">com.scur.mainaction.block.19725</t>
  </si>
  <si>
    <t xml:space="preserve">Blocks urls with bad reputation.  High &amp; Medium Risk </t>
  </si>
  <si>
    <t xml:space="preserve">Remove Web Ads</t>
  </si>
  <si>
    <t xml:space="preserve">OTHER: com.scur.mainaction.remove</t>
  </si>
  <si>
    <t xml:space="preserve">com.scur.mainaction.remove</t>
  </si>
  <si>
    <t xml:space="preserve">Special Block Page for Storage</t>
  </si>
  <si>
    <t xml:space="preserve">com.scur.mainaction.block.167</t>
  </si>
  <si>
    <t xml:space="preserve">Social Networking Applications Allow SNApps: Domains</t>
  </si>
  <si>
    <t xml:space="preserve">Block TLDs: TLD Block List</t>
  </si>
  <si>
    <t xml:space="preserve">Block same TLD's as CVS</t>
  </si>
  <si>
    <t xml:space="preserve">Block URLs Whose Category Is in Category BlockList</t>
  </si>
  <si>
    <t xml:space="preserve">Blocked Dest IP</t>
  </si>
  <si>
    <t xml:space="preserve">URL Filter &gt; Coaching &gt; Coaching With URL Configuration</t>
  </si>
  <si>
    <t xml:space="preserve">Bypass Coaching for IP addresses</t>
  </si>
  <si>
    <t xml:space="preserve">Bypass Coaching for Prod_noCoach_uncat</t>
  </si>
  <si>
    <t xml:space="preserve">Redirecting After Starting New Coaching Session</t>
  </si>
  <si>
    <t xml:space="preserve">com.scur.mainaction.redirect.198</t>
  </si>
  <si>
    <t xml:space="preserve">This rule redirects the user back to the requested URL after the user started a new session by pushing the button in the HTML Session template.</t>
  </si>
  <si>
    <t xml:space="preserve">Coaching for Uncategorized URLs</t>
  </si>
  <si>
    <t xml:space="preserve">com.scur.mainaction.block.277</t>
  </si>
  <si>
    <t xml:space="preserve">Coaching for Survey Monkey</t>
  </si>
  <si>
    <t xml:space="preserve">com.scur.mainaction.block.1198</t>
  </si>
  <si>
    <t xml:space="preserve">Check If Coaching Session Has Been Exceeded</t>
  </si>
  <si>
    <t xml:space="preserve">com.scur.mainaction.block.2108</t>
  </si>
  <si>
    <t xml:space="preserve">This rule shows a block html site for Coaching after the session for Coaching has been exceeded and one of the URLs is in the URL blocklist.</t>
  </si>
  <si>
    <t xml:space="preserve">URL Filter &gt; Coaching &gt; Coaching With IP Configuration</t>
  </si>
  <si>
    <t xml:space="preserve">true,true,false</t>
  </si>
  <si>
    <t xml:space="preserve">This rule shows a block html site for Coaching after the session for Coaching has been exceeded and the ip is in the ip blocklist.</t>
  </si>
  <si>
    <t xml:space="preserve">URL Filter &gt; Coaching &gt; Coaching With Authenticated User Configuration</t>
  </si>
  <si>
    <t xml:space="preserve">This rule shows a block html site for Coaching after the Coaching session has been exceeded and one of the user is in the user blocklist.</t>
  </si>
  <si>
    <t xml:space="preserve">Web Cache</t>
  </si>
  <si>
    <t xml:space="preserve">Web Cache &gt; Read From Cache</t>
  </si>
  <si>
    <t xml:space="preserve">Enable Web Cache</t>
  </si>
  <si>
    <t xml:space="preserve">Web Cache &gt; Write to Cache</t>
  </si>
  <si>
    <t xml:space="preserve">Skip Caching Objects That Are Larger Than X Bytes</t>
  </si>
  <si>
    <t xml:space="preserve">If objects are larger than x bytes, Web Cache will not be enabled.</t>
  </si>
  <si>
    <t xml:space="preserve">Skip Caching Media Types That Are in Web Cache Media Type Blocklist</t>
  </si>
  <si>
    <t xml:space="preserve">If media types are in given list, Web Cache will not be enabled.</t>
  </si>
  <si>
    <t xml:space="preserve">Progress Indication</t>
  </si>
  <si>
    <t xml:space="preserve">Progress Indication &gt; FTP Uploads</t>
  </si>
  <si>
    <t xml:space="preserve">FTP upload Timeout Prevention</t>
  </si>
  <si>
    <t xml:space="preserve">Progress Indication &gt; Downloads</t>
  </si>
  <si>
    <t xml:space="preserve">Enable Progress Page</t>
  </si>
  <si>
    <t xml:space="preserve">Enable progress page if a web browser is detected.</t>
  </si>
  <si>
    <t xml:space="preserve">Enable Data Trickling</t>
  </si>
  <si>
    <t xml:space="preserve">Enable data trickling.</t>
  </si>
  <si>
    <t xml:space="preserve">Application Discovery</t>
  </si>
  <si>
    <t xml:space="preserve">Application is High Risk</t>
  </si>
  <si>
    <t xml:space="preserve">Application is Medium Risk</t>
  </si>
  <si>
    <t xml:space="preserve">Application is Minimal Risk</t>
  </si>
  <si>
    <t xml:space="preserve">Application is Unverified</t>
  </si>
  <si>
    <t xml:space="preserve">Application Control</t>
  </si>
  <si>
    <t xml:space="preserve">Bypass Application Control BypassApps: URLs</t>
  </si>
  <si>
    <t xml:space="preserve">URL list that will bypass all Application Controls</t>
  </si>
  <si>
    <t xml:space="preserve">Application Control &gt; Application: YouTube-Uploader</t>
  </si>
  <si>
    <t xml:space="preserve">Skip CONNECT Request</t>
  </si>
  <si>
    <t xml:space="preserve">Redirect Requests except for StreamMediaADGroups</t>
  </si>
  <si>
    <t xml:space="preserve">com.scur.mainaction.redirect.17121</t>
  </si>
  <si>
    <t xml:space="preserve">YouTube: /watch</t>
  </si>
  <si>
    <t xml:space="preserve">YouTube: /get_video_info</t>
  </si>
  <si>
    <t xml:space="preserve">YouTube: /s</t>
  </si>
  <si>
    <t xml:space="preserve">YouTube: /embed</t>
  </si>
  <si>
    <t xml:space="preserve">YouTube: Get Video Information</t>
  </si>
  <si>
    <t xml:space="preserve">YouTube: Check if title was looked up</t>
  </si>
  <si>
    <t xml:space="preserve">Application Control &gt; Application: YouTube-Uploader &gt; YouTube: Block By Category</t>
  </si>
  <si>
    <t xml:space="preserve">YouTube: Blocked Categories</t>
  </si>
  <si>
    <t xml:space="preserve">958983948404792</t>
  </si>
  <si>
    <t xml:space="preserve">Application Control &gt; Application: YouTube-Uploader &gt; YouTube: Block By Keywords</t>
  </si>
  <si>
    <t xml:space="preserve">YouTube: Blocked Keywords</t>
  </si>
  <si>
    <t xml:space="preserve">958983948404797</t>
  </si>
  <si>
    <t xml:space="preserve">Application Control &gt; Application: YouTube-Uploader &gt; YouTube: Restrict By Uploader</t>
  </si>
  <si>
    <t xml:space="preserve">YouTube: Allowed Uploaders</t>
  </si>
  <si>
    <t xml:space="preserve">958983948405921</t>
  </si>
  <si>
    <t xml:space="preserve">YouTube: Blocked Uploaders</t>
  </si>
  <si>
    <t xml:space="preserve">958983948404794</t>
  </si>
  <si>
    <t xml:space="preserve">Application Control &gt; Application: YouTube-Uploader &gt; YouTube: Acceptable Use Content</t>
  </si>
  <si>
    <t xml:space="preserve">YouTube: Block by Acceptable Use Content Title</t>
  </si>
  <si>
    <t xml:space="preserve">YouTube: Block by Acceptable Use Content Description</t>
  </si>
  <si>
    <t xml:space="preserve">YouTube: Block by Acceptable Use Content Keyword</t>
  </si>
  <si>
    <t xml:space="preserve">Application Control &gt; Application: YouTube-Uploader &gt; YouTube: Block POST by Size</t>
  </si>
  <si>
    <t xml:space="preserve">Allow YouTube POST: ADGroups Unlimited POST Size</t>
  </si>
  <si>
    <t xml:space="preserve">Allow AD group unrestricted POST of video and comments</t>
  </si>
  <si>
    <t xml:space="preserve">Allow SocialEnterprise 2048 POST Size</t>
  </si>
  <si>
    <t xml:space="preserve">Allow AD group limited POST for video commenting</t>
  </si>
  <si>
    <t xml:space="preserve">Block All Other POST Commands</t>
  </si>
  <si>
    <t xml:space="preserve">958983948404793</t>
  </si>
  <si>
    <t xml:space="preserve">Application Control &gt; Facebook Control Aetna</t>
  </si>
  <si>
    <t xml:space="preserve">Bypass Allowed AD Groups SocNetADGroups</t>
  </si>
  <si>
    <t xml:space="preserve">Bypass application controls for AD allowed groups</t>
  </si>
  <si>
    <t xml:space="preserve">Block Facebook Content FB-Blocked-Apps</t>
  </si>
  <si>
    <t xml:space="preserve">958983948404795</t>
  </si>
  <si>
    <t xml:space="preserve">Application Control &gt; Facebook Control Aetna &gt; Remove Facebook links</t>
  </si>
  <si>
    <t xml:space="preserve">Enable HTML Opener</t>
  </si>
  <si>
    <t xml:space="preserve">Remove Header for "Content-Length"</t>
  </si>
  <si>
    <t xml:space="preserve">The HTML rules will modify the content length. So we delete this header so that user agents will not complain about getting not that much data as promised.</t>
  </si>
  <si>
    <t xml:space="preserve">Remove Facebook Sidebar</t>
  </si>
  <si>
    <t xml:space="preserve">Remove Facebook Jewel Container</t>
  </si>
  <si>
    <t xml:space="preserve">Restrict "Top Buttons" Link</t>
  </si>
  <si>
    <t xml:space="preserve">Application Control &gt; Facebook Control Aetna &gt; Facebook-Ruleset</t>
  </si>
  <si>
    <t xml:space="preserve">Whitelist Static Facebook Static: Domains</t>
  </si>
  <si>
    <t xml:space="preserve">Application Control &gt; Facebook Control Aetna &gt; Facebook-Ruleset &gt; Restrict Requests</t>
  </si>
  <si>
    <t xml:space="preserve">Block POSTs if Not Authenticated</t>
  </si>
  <si>
    <t xml:space="preserve">Allow specific Aetna Facebook Access Aetna-FB-List</t>
  </si>
  <si>
    <t xml:space="preserve">Be Less Restrictive If Referer Header is Set Aetna-FB-Regex</t>
  </si>
  <si>
    <t xml:space="preserve">Redirect Requests</t>
  </si>
  <si>
    <t xml:space="preserve">URL allow Facebook: URLs</t>
  </si>
  <si>
    <t xml:space="preserve">Static URL Path Allow Facebook: URL Path</t>
  </si>
  <si>
    <t xml:space="preserve">Restrict Non-Aetna Facebook Accesses</t>
  </si>
  <si>
    <t xml:space="preserve">958983948406059</t>
  </si>
  <si>
    <t xml:space="preserve">Application Control &gt; Facebook Control Aetna &gt; Facebook-Ruleset &gt; Restrict Response</t>
  </si>
  <si>
    <t xml:space="preserve">Restrict Facebook Logo Button</t>
  </si>
  <si>
    <t xml:space="preserve">Restrict "Homepage" Link</t>
  </si>
  <si>
    <t xml:space="preserve">Application Control &gt; Twitter Control Aetna</t>
  </si>
  <si>
    <t xml:space="preserve">Twitter applicaiton control</t>
  </si>
  <si>
    <t xml:space="preserve">com.scur.mainaction.block.32</t>
  </si>
  <si>
    <t xml:space="preserve">Application Control &gt; Twitter Control Aetna &gt; Twitter-Ruleset</t>
  </si>
  <si>
    <t xml:space="preserve">Allowed Twitter URLs</t>
  </si>
  <si>
    <t xml:space="preserve">Restrict Non-Aetna Twitter Accesses</t>
  </si>
  <si>
    <t xml:space="preserve">Application Control &gt; Box Control Aetna</t>
  </si>
  <si>
    <t xml:space="preserve">Redirect Login to SSO</t>
  </si>
  <si>
    <t xml:space="preserve">Block app.box.com</t>
  </si>
  <si>
    <t xml:space="preserve">Bypass Allowed AD Groups AetnaBox</t>
  </si>
  <si>
    <t xml:space="preserve">Box applicaiton control</t>
  </si>
  <si>
    <t xml:space="preserve">com.scur.mainaction.block.958983948406244</t>
  </si>
  <si>
    <t xml:space="preserve">Agentless notifications</t>
  </si>
  <si>
    <t xml:space="preserve">Agentless Notifications User Exception</t>
  </si>
  <si>
    <t xml:space="preserve">Add block header</t>
  </si>
  <si>
    <t xml:space="preserve">Remove CSP headers</t>
  </si>
  <si>
    <t xml:space="preserve">Agentless notifications &gt; Modify CSP Header</t>
  </si>
  <si>
    <t xml:space="preserve">Get CSP Header</t>
  </si>
  <si>
    <t xml:space="preserve">Get script-src directive</t>
  </si>
  <si>
    <t xml:space="preserve">Add 'unsafe-inline' to script-src directive</t>
  </si>
  <si>
    <t xml:space="preserve">Add static.mwginternal.com to script-src directive</t>
  </si>
  <si>
    <t xml:space="preserve">Remove nonce from script-src directive</t>
  </si>
  <si>
    <t xml:space="preserve">Get default-src directive</t>
  </si>
  <si>
    <t xml:space="preserve">Add 'unsafe-inline' to default-src directive</t>
  </si>
  <si>
    <t xml:space="preserve">Get base-uri directive</t>
  </si>
  <si>
    <t xml:space="preserve">Add static.mwginternal.com to base-uri directive</t>
  </si>
  <si>
    <t xml:space="preserve">Get img-src directive</t>
  </si>
  <si>
    <t xml:space="preserve">Add static.mwginternal.com to img-src directive</t>
  </si>
  <si>
    <t xml:space="preserve">Get style-src directive</t>
  </si>
  <si>
    <t xml:space="preserve">Add 'unsafe-inline' to style-src directive</t>
  </si>
  <si>
    <t xml:space="preserve">Add static.mwginternal.com to style-src directive</t>
  </si>
  <si>
    <t xml:space="preserve">Modify Content-Security-Policy header</t>
  </si>
  <si>
    <t xml:space="preserve">Agentless notifications &gt; Remove CSP Header</t>
  </si>
  <si>
    <t xml:space="preserve">Agentless notifications &gt; Inject JS</t>
  </si>
  <si>
    <t xml:space="preserve">Get Body</t>
  </si>
  <si>
    <t xml:space="preserve">Find position of beginning of &lt;head&gt; tag</t>
  </si>
  <si>
    <t xml:space="preserve">Find position of end of &lt;head&gt; tag</t>
  </si>
  <si>
    <t xml:space="preserve">Inject &lt;script&gt; tag</t>
  </si>
  <si>
    <t xml:space="preserve">Data Loss Prevention (DLP)</t>
  </si>
  <si>
    <t xml:space="preserve">Data Loss Prevention (DLP) &gt; DLP Precheck</t>
  </si>
  <si>
    <t xml:space="preserve">Masked SSN</t>
  </si>
  <si>
    <t xml:space="preserve">HICN</t>
  </si>
  <si>
    <t xml:space="preserve">GEMS ID</t>
  </si>
  <si>
    <t xml:space="preserve">Dependent ID</t>
  </si>
  <si>
    <t xml:space="preserve">Member ID</t>
  </si>
  <si>
    <t xml:space="preserve">Long Member ID</t>
  </si>
  <si>
    <t xml:space="preserve">FIUO Keywords</t>
  </si>
  <si>
    <t xml:space="preserve">Data Loss Prevention (DLP) &gt; DLP in Request Cycle</t>
  </si>
  <si>
    <t xml:space="preserve">Cloud Storage Non-Restricted Block</t>
  </si>
  <si>
    <t xml:space="preserve">com.scur.mainaction.block.3044</t>
  </si>
  <si>
    <t xml:space="preserve">Cloud Storage Restricted Block</t>
  </si>
  <si>
    <t xml:space="preserve">Restricted Post/Upload Block</t>
  </si>
  <si>
    <t xml:space="preserve">External SPO Restricted Block</t>
  </si>
  <si>
    <t xml:space="preserve">Aetna Connect Restricted Block</t>
  </si>
  <si>
    <t xml:space="preserve">HTTP Member ID Block</t>
  </si>
  <si>
    <t xml:space="preserve">For Internal Use Only Audit</t>
  </si>
  <si>
    <t xml:space="preserve">Data Loss Prevention (DLP) &gt; DLP Response Cycle</t>
  </si>
  <si>
    <t xml:space="preserve">Acceptable Use</t>
  </si>
  <si>
    <t xml:space="preserve">com.scur.mainaction.block.3052</t>
  </si>
  <si>
    <t xml:space="preserve">Data Loss Prevention (DLP) &gt; DLP Audit Only</t>
  </si>
  <si>
    <t xml:space="preserve">Data Loss Prevention w/ICAP</t>
  </si>
  <si>
    <t xml:space="preserve">Bypass Top-Level (Embedded) Response Cycles</t>
  </si>
  <si>
    <t xml:space="preserve">false</t>
  </si>
  <si>
    <t xml:space="preserve">Skip Requests except POST or PUT</t>
  </si>
  <si>
    <t xml:space="preserve">Only requests that contain some data will be sent to the ICAP server</t>
  </si>
  <si>
    <t xml:space="preserve">Bypass urls in Prod_BypassDLP: Domains</t>
  </si>
  <si>
    <t xml:space="preserve">Bypass urls in DLP-SSO-Urls</t>
  </si>
  <si>
    <t xml:space="preserve">Call MID ReqMod Server</t>
  </si>
  <si>
    <t xml:space="preserve">Call WIN ReqMod Server</t>
  </si>
  <si>
    <t xml:space="preserve">Call PDC ReqMod Server</t>
  </si>
  <si>
    <t xml:space="preserve">Call QA ReqMod Server</t>
  </si>
  <si>
    <t xml:space="preserve">LAB Only: Call AETT ReqModServer</t>
  </si>
  <si>
    <t xml:space="preserve">ICAP: Not Modified</t>
  </si>
  <si>
    <t xml:space="preserve">Gateway Anti-Malware</t>
  </si>
  <si>
    <t xml:space="preserve">Bypass AetNet home page</t>
  </si>
  <si>
    <t xml:space="preserve">Bypass Scanning for Prod_NoAVScan: URLs and Prod_NoAVScan: Domains</t>
  </si>
  <si>
    <t xml:space="preserve">Bypass Scanning for Prod_AVException: URLs and Prod_AVException: Domains</t>
  </si>
  <si>
    <t xml:space="preserve">Gateway Anti-Malware &gt; Enable Opener</t>
  </si>
  <si>
    <t xml:space="preserve">Count Embedded Objects</t>
  </si>
  <si>
    <t xml:space="preserve">Block Password Protected Archives</t>
  </si>
  <si>
    <t xml:space="preserve">Block Nested Archives</t>
  </si>
  <si>
    <t xml:space="preserve">Gateway Anti-Malware &gt; Block File Extensions</t>
  </si>
  <si>
    <t xml:space="preserve">Block SSNDENYS from restricted file extensions.</t>
  </si>
  <si>
    <t xml:space="preserve">Bypass Executable block for SFAllowexeDL</t>
  </si>
  <si>
    <t xml:space="preserve">Blocked File Extensions</t>
  </si>
  <si>
    <t xml:space="preserve">com.scur.mainaction.block.958983948403254</t>
  </si>
  <si>
    <t xml:space="preserve">.hta;.iq;.job;.lnk;.pif;.shs;.vbe;.wsc;.wsh</t>
  </si>
  <si>
    <t xml:space="preserve">Block Executables</t>
  </si>
  <si>
    <t xml:space="preserve">Gateway Anti-Malware &gt; Anti-Malware</t>
  </si>
  <si>
    <t xml:space="preserve">Bypass Uploads to Box.com Domains</t>
  </si>
  <si>
    <t xml:space="preserve">Start Media Stream Scanner on Streaming Media and Skip Anti-Malware Scanning</t>
  </si>
  <si>
    <t xml:space="preserve">Starts the media stream scanner on streaming media and skip antivirus checking when streaming media is detected.</t>
  </si>
  <si>
    <t xml:space="preserve">Remove Partial Content for HTTP(s) Requests</t>
  </si>
  <si>
    <t xml:space="preserve">Block Partial Content for FTP Requests</t>
  </si>
  <si>
    <t xml:space="preserve">com.scur.mainaction.block.17082</t>
  </si>
  <si>
    <t xml:space="preserve">Block Large Files that are not box.com</t>
  </si>
  <si>
    <t xml:space="preserve">com.scur.mainaction.block.958983948399809</t>
  </si>
  <si>
    <t xml:space="preserve">Bypass malware scanning for files larger than 2gigs</t>
  </si>
  <si>
    <t xml:space="preserve">Block Large Files toward box.com</t>
  </si>
  <si>
    <t xml:space="preserve">Bypass malware scanning for files larger than 7gigs</t>
  </si>
  <si>
    <t xml:space="preserve">Block If Virus Was Found</t>
  </si>
  <si>
    <t xml:space="preserve">com.scur.mainaction.block.17099</t>
  </si>
  <si>
    <t xml:space="preserve">Block, if a virus was found in an object.
9/12/2024 Brian Tam - aetna-prd.assurecaremc.com added because excel file couldn't download.  [12:34 PM] Shukla, Vishnu S
INC24134963</t>
  </si>
  <si>
    <t xml:space="preserve">Anti-Malware: Scan Completed</t>
  </si>
  <si>
    <t xml:space="preserve">Validate that Antimalware scanning occured for logs. 
If it gets to here, it passed the Antimalware rules and is clean.
Body.Modified indicates if a page was cleaned of mobile code.</t>
  </si>
  <si>
    <t xml:space="preserve">Palo Alto Deployment Recommendations, by Function Area</t>
  </si>
  <si>
    <t xml:space="preserve">Rule counts below are computed live via COUNTIFS against the 'All Policy Rules' tab.</t>
  </si>
  <si>
    <t xml:space="preserve">Rule Count</t>
  </si>
  <si>
    <t xml:space="preserve">Blocking</t>
  </si>
  <si>
    <t xml:space="preserve">Log-Only</t>
  </si>
  <si>
    <t xml:space="preserve">Allow-Exit</t>
  </si>
  <si>
    <t xml:space="preserve">Disabled</t>
  </si>
  <si>
    <t xml:space="preserve">PA Equivalent Construct</t>
  </si>
  <si>
    <t xml:space="preserve">Deployment Recommendation</t>
  </si>
  <si>
    <t xml:space="preserve">Priority</t>
  </si>
  <si>
    <t xml:space="preserve">URL Filtering Profile (PAN-DB categories) + custom URL categories</t>
  </si>
  <si>
    <t xml:space="preserve">Largest single group (81 rules) and the most exception-heavy: 44 Allow-exits vs. only 20 actual blocks, plus 11 log-only and 4 disabled. This reads as years of accumulated one-off exceptions layered on top of a base policy. Recommend a clean-slate URL Filtering Profile built from PAN-DB categories plus a short, deliberately maintained custom-category allowlist — not a port of the current exception sprawl, which would carry the sprawl's maintenance burden into the new platform.</t>
  </si>
  <si>
    <t xml:space="preserve">High</t>
  </si>
  <si>
    <t xml:space="preserve">Security Policy base rulebase / rule-ordering foundation</t>
  </si>
  <si>
    <t xml:space="preserve">Shared logic underpinning other groups. Roughly half of these rules are log-only. Translate into the PA rulebase's ordering and default-deny structure rather than as a literal 1:1 rule port — Common Rules exists to compensate for McAfee's first-match linear rule evaluation model, which PA's zone/App-ID model doesn't need in the same shape.</t>
  </si>
  <si>
    <t xml:space="preserve">Medium</t>
  </si>
  <si>
    <t xml:space="preserve">Decryption Profile (SSL Forward Proxy) — certificate validation checks</t>
  </si>
  <si>
    <t xml:space="preserve">THE headline finding of this analysis. Every rule named "Block [certificate condition]" in this group is wired to com.scur.mainaction.continue — it logs and passes the connection, never blocks. Only 11 of 54 rules in this group actually block; 14 are silently log-only including every certificate-validation check; 26 are bypass/allow exits. When this is rebuilt in Palo Alto's Decryption Profile, the equivalent checkboxes ("Block sessions with expired/untrusted/unsupported cert", "Block sessions on SSL/TLS errors") must be explicitly enabled — do not port the current McAfee behavior as the baseline, since the current behavior is not what its own rule names claim it is.</t>
  </si>
  <si>
    <t xml:space="preserve">CRITICAL</t>
  </si>
  <si>
    <t xml:space="preserve">App-ID enforcement in the Security Policy rulebase</t>
  </si>
  <si>
    <t xml:space="preserve">Genuinely mixed enforcement: 12 blocking, 12 allow-exit, 10 log-only, 6 disabled, 5 "remove" actions, 1 stopcycle — six different effective behaviors in one group of 50 rules. Do not port this structure as-is. Rebuild as an App-ID-based rulebase with a small number of explicit allow/deny rules per application category; the current group's complexity is itself the finding.</t>
  </si>
  <si>
    <t xml:space="preserve">Response Pages / Captive Portal notification banners</t>
  </si>
  <si>
    <t xml:space="preserve">22 of 23 rules are log-only by design — this group appears intended purely for notification/logging, not enforcement. Map to PA response pages for the equivalent user-facing notifications; no blocking behavior to preserve.</t>
  </si>
  <si>
    <t xml:space="preserve">Low</t>
  </si>
  <si>
    <t xml:space="preserve">Data Filtering Profile (predefined + custom Data Patterns) attached to Security Policy</t>
  </si>
  <si>
    <t xml:space="preserve">Only 6 of 22 active rules actually block; 15 are log-only, 1 disabled. The dictionaries behind this group (CVS Health SSN, HICN, Member ID, GEMS ID, PCI patterns) are real and detailed — port those definitions directly into PA Data Patterns (regex/predefined-pattern equivalents exist for SSN and PAN; HICN and the CVS-specific IDs need custom regex objects). This is the same estate NETSEC-DLP-01 is already scoping — coordinate rather than duplicate.</t>
  </si>
  <si>
    <t xml:space="preserve">Antivirus Profile + WildFire Analysis Profile</t>
  </si>
  <si>
    <t xml:space="preserve">The healthiest group in this config: 9 blocking, 4 log-only, 6 allow-exit, 0 disabled. Map fairly directly to an Antivirus Profile (signature-based) plus WildFire (unknown-file sandboxing) attached across zones — closest thing here to a genuine like-for-like port.</t>
  </si>
  <si>
    <t xml:space="preserve">Decryption Policy exclusion using the predefined "Microsoft 365" EDL / URL category</t>
  </si>
  <si>
    <t xml:space="preserve">All 15 rules here are either Allow-exit or Redirect — none block. Replace the manually maintained bypass list with PA's built-in Microsoft 365 URL category / EDL, which Palo Alto maintains and updates centrally — avoids the maintenance burden this custom list currently carries.</t>
  </si>
  <si>
    <t xml:space="preserve">Authentication Policy + Authentication Profile / User-ID</t>
  </si>
  <si>
    <t xml:space="preserve">12 of 13 rules exit via Allow — this group is structured mostly as an exception/passthrough list around a single real auth challenge. Map the one AUTH-CHALLENGE rule to a PA Authentication Policy rule tied to an Authentication Profile (SAML/Kerberos/NTLM per current IdP), and rebuild the 12 exceptions as an explicit no-auth-required Security Policy rule rather than leaving them implicit in evaluation order.</t>
  </si>
  <si>
    <t xml:space="preserve">No native equivalent — requires Palo Alto Enterprise DLP (cloud subscription) for response-direction/inbound inspection</t>
  </si>
  <si>
    <t xml:space="preserve">All 10 rules are disabled — this is the same inbound/response-cycle gap the original Skyhigh equivalency work already flagged. Palo Alto NGFW does not have a direct ICAP-response-DLP equivalent; closing this gap on Palo Alto requires evaluating the Enterprise DLP subscription rather than a like-for-like policy port. Flag as a licensing/architecture decision, not a rule-migration task.</t>
  </si>
  <si>
    <t xml:space="preserve">High (strategic)</t>
  </si>
  <si>
    <t xml:space="preserve">Security Policy (internal zone match) + SSL Decryption Policy exclusion</t>
  </si>
  <si>
    <t xml:space="preserve">Port the internal site list into a PA Address Object / EDL referenced by both a Security Policy allow rule and a Decryption Policy no-decrypt rule, rather than duplicating the list in two places.</t>
  </si>
  <si>
    <t xml:space="preserve">File Blocking Profile + WildFire (archive/container extraction)</t>
  </si>
  <si>
    <t xml:space="preserve">Small group (5 rules). Map archive-opening behavior to WildFire's file-type and archive inspection settings in a File Blocking Profile.</t>
  </si>
  <si>
    <t xml:space="preserve">Low-Medium</t>
  </si>
  <si>
    <t xml:space="preserve">N/A — PA does not perform local web caching in this role</t>
  </si>
  <si>
    <t xml:space="preserve">Not applicable to a Palo Alto NGFW deployment; no equivalency action needed.</t>
  </si>
  <si>
    <t xml:space="preserve">App-ID visibility / Application Command Center (ACC)</t>
  </si>
  <si>
    <t xml:space="preserve">Map to App-ID's native visibility — this is largely redundant with what PA reports automatically once App-ID is enabled, so treat as a validation step rather than a rule-for-rule port.</t>
  </si>
  <si>
    <t xml:space="preserve">N/A — proxy UX feature (download progress page)</t>
  </si>
  <si>
    <t xml:space="preserve">No equivalent needed for a transparent/explicit-proxy NGFW deployment model.</t>
  </si>
  <si>
    <t xml:space="preserve">N/A — operational/diagnostic rules</t>
  </si>
  <si>
    <t xml:space="preserve">No policy-equivalency action. Confirm these rules are genuinely diagnostic before excluding from the PA migration scope.</t>
  </si>
  <si>
    <t xml:space="preserve">Decryption Policy exclusion by App-ID (zoom, ms-teams, webex, gotomeeting)</t>
  </si>
  <si>
    <t xml:space="preserve">Only 2 rules, both stopcycle. Move from a domain-bypass model to an App-ID-based decryption exclusion — narrower and self-updating as these apps change infrastructure.</t>
  </si>
  <si>
    <t xml:space="preserve">N/A</t>
  </si>
  <si>
    <t xml:space="preserve">A rule group literally named "test" is live in the production ruleset. Do not port this into Palo Alto policy. Confirm its origin, document why it's still enabled in production, and remove or formally except it before this config is used as an equivalency baseline for anything else.</t>
  </si>
  <si>
    <t xml:space="preserve">HIGH (governance)</t>
  </si>
  <si>
    <t xml:space="preserve">N/A — session/timeout configuration, not a security policy</t>
  </si>
  <si>
    <t xml:space="preserve">Configure directly in PA session settings if a specific timeout requirement exists; not a rulebase item.</t>
  </si>
  <si>
    <t xml:space="preserve">Error Handlers (context)</t>
  </si>
  <si>
    <t xml:space="preserve">Block/error page behavior — operational/cosmetic, not security enforcement. Listed for completeness; no direct 1:1 Palo Alto rule mapping (PA response pages serve this role).</t>
  </si>
  <si>
    <t xml:space="preserve">Handler Name</t>
  </si>
  <si>
    <t xml:space="preserve">Handler Enabled</t>
  </si>
  <si>
    <t xml:space="preserve">default</t>
  </si>
  <si>
    <t xml:space="preserve">AM-Engine</t>
  </si>
  <si>
    <t xml:space="preserve">AM-Proactive</t>
  </si>
  <si>
    <t xml:space="preserve">AM-Signature</t>
  </si>
  <si>
    <t xml:space="preserve">Avira-Engine</t>
  </si>
  <si>
    <t xml:space="preserve">Avira-Savapi</t>
  </si>
  <si>
    <t xml:space="preserve">Avira-VDF</t>
  </si>
  <si>
    <t xml:space="preserve">MFE-DAT</t>
  </si>
  <si>
    <t xml:space="preserve">MFE-Engine</t>
  </si>
  <si>
    <t xml:space="preserve">TS-Database</t>
  </si>
  <si>
    <t xml:space="preserve">TS-Engine</t>
  </si>
  <si>
    <t xml:space="preserve">Create Event Message</t>
  </si>
  <si>
    <t xml:space="preserve">Send Syslog Entry</t>
  </si>
  <si>
    <t xml:space="preserve">Keep Time Based  Connection Always Alive</t>
  </si>
  <si>
    <t xml:space="preserve">Keep Volume Based  Connection Always Alive</t>
  </si>
  <si>
    <t xml:space="preserve">Create Notification Message</t>
  </si>
  <si>
    <t xml:space="preserve">Send SNMP Trap</t>
  </si>
  <si>
    <t xml:space="preserve">Create Syslog Entry</t>
  </si>
  <si>
    <t xml:space="preserve">Write CPU Overload Into Log</t>
  </si>
  <si>
    <t xml:space="preserve">Write Cache Partition Into Log</t>
  </si>
  <si>
    <t xml:space="preserve">Send Email for Notification</t>
  </si>
  <si>
    <t xml:space="preserve">Write Request Overload Into Log</t>
  </si>
  <si>
    <t xml:space="preserve">Create Notification Message other</t>
  </si>
  <si>
    <t xml:space="preserve">Send Email Notification</t>
  </si>
  <si>
    <t xml:space="preserve">Write Log File Manager Incidents Into Log</t>
  </si>
  <si>
    <t xml:space="preserve">Skip up-to-date Messages</t>
  </si>
  <si>
    <t xml:space="preserve">Skip Successful Updates</t>
  </si>
  <si>
    <t xml:space="preserve">Create Update Incident Message</t>
  </si>
  <si>
    <t xml:space="preserve">Send Email on LOG_ERR priority or higher</t>
  </si>
  <si>
    <t xml:space="preserve">Write Update Incidents Into Log</t>
  </si>
  <si>
    <t xml:space="preserve">Skip non-Error Incident Events</t>
  </si>
  <si>
    <t xml:space="preserve">Skip th.vhealth.com Events</t>
  </si>
  <si>
    <t xml:space="preserve">Set Message Header for Incidents</t>
  </si>
  <si>
    <t xml:space="preserve">Set Message Header for Errors</t>
  </si>
  <si>
    <t xml:space="preserve">Create Error Event  Message</t>
  </si>
  <si>
    <t xml:space="preserve">Append URL for Cloud Lookup and ICAP Server Errors</t>
  </si>
  <si>
    <t xml:space="preserve">Send Email for License Remaining</t>
  </si>
  <si>
    <t xml:space="preserve">Write Error Event Into Log</t>
  </si>
  <si>
    <t xml:space="preserve">Block If Anti-Malware Engine Can Not Be Loaded</t>
  </si>
  <si>
    <t xml:space="preserve">Block If Anti-Malware Engine Is Overloaded</t>
  </si>
  <si>
    <t xml:space="preserve">Block on Internal Anti-Malware Engine Errors</t>
  </si>
  <si>
    <t xml:space="preserve">Block If the URL Filter Engine Can Not Be Loaded</t>
  </si>
  <si>
    <t xml:space="preserve">Block All Other Internal URL Filter Errors</t>
  </si>
  <si>
    <t xml:space="preserve">DLP Filter Is Not Loaded</t>
  </si>
  <si>
    <t xml:space="preserve">Skip ICAP client filter error: ICAP server send bad response</t>
  </si>
  <si>
    <t xml:space="preserve">Skip ICAP client filter error: Maximum connection limit reached</t>
  </si>
  <si>
    <t xml:space="preserve">Skip ICAP client filter error: Cannot connect to ICAP server</t>
  </si>
  <si>
    <t xml:space="preserve">Skip ICAP client filter error: Communication failure with ICAP server</t>
  </si>
  <si>
    <t xml:space="preserve">All Other DLP Filter Errors</t>
  </si>
  <si>
    <t xml:space="preserve">Data Fetch Error</t>
  </si>
  <si>
    <t xml:space="preserve">Data Conversion Error</t>
  </si>
  <si>
    <t xml:space="preserve">Too Much Data Was Fetched</t>
  </si>
  <si>
    <t xml:space="preserve">Data Fetch Timeout</t>
  </si>
  <si>
    <t xml:space="preserve">Data Access Denied</t>
  </si>
  <si>
    <t xml:space="preserve">No Such Data Resource</t>
  </si>
  <si>
    <t xml:space="preserve">All Other External Lists Filter Errors</t>
  </si>
  <si>
    <t xml:space="preserve">Application Control Engine Not Loaded</t>
  </si>
  <si>
    <t xml:space="preserve">All Other Application Control Engine Errors</t>
  </si>
  <si>
    <t xml:space="preserve">Initialize</t>
  </si>
  <si>
    <t xml:space="preserve">Always Write to 'incident.log'</t>
  </si>
  <si>
    <t xml:space="preserve">Always Send to Syslog</t>
  </si>
  <si>
    <t xml:space="preserve">Always Send SNMP Trap</t>
  </si>
  <si>
    <t xml:space="preserve">Ignore Test Incident Notifications</t>
  </si>
  <si>
    <t xml:space="preserve">Enable Incident Snooze in Email With Internal Host</t>
  </si>
  <si>
    <t xml:space="preserve">Enable Incident Snooze in Email With Internal Path</t>
  </si>
  <si>
    <t xml:space="preserve">Set Appliance Name for Snooze URL</t>
  </si>
  <si>
    <t xml:space="preserve">Set Alternative Appliance Name for Snooze URL</t>
  </si>
  <si>
    <t xml:space="preserve">Allow Snooze for Email</t>
  </si>
  <si>
    <t xml:space="preserve">Allow Snooze for SNMP</t>
  </si>
  <si>
    <t xml:space="preserve">Allow Snooze for Syslog</t>
  </si>
  <si>
    <t xml:space="preserve">Allow Snooze for 'incident.log'</t>
  </si>
  <si>
    <t xml:space="preserve">Check If Snooze is on</t>
  </si>
  <si>
    <t xml:space="preserve">Set Key</t>
  </si>
  <si>
    <t xml:space="preserve">Check Expiration of Snooze</t>
  </si>
  <si>
    <t xml:space="preserve">Remove Entry From PDStorage After Reset</t>
  </si>
  <si>
    <t xml:space="preserve">Remove Incident From List If Exceeded</t>
  </si>
  <si>
    <t xml:space="preserve">Disable Snooze If There Is No Key</t>
  </si>
  <si>
    <t xml:space="preserve">Get User Message from List Incident Notifications - Interested IDs</t>
  </si>
  <si>
    <t xml:space="preserve">Stop If There are No Settings for the Incident</t>
  </si>
  <si>
    <t xml:space="preserve">Parse Settings String</t>
  </si>
  <si>
    <t xml:space="preserve">Set Recipients Accordingly If User Message is Found</t>
  </si>
  <si>
    <t xml:space="preserve">Set Recipients If No User Message is Found</t>
  </si>
  <si>
    <t xml:space="preserve">Set Default Recommendations</t>
  </si>
  <si>
    <t xml:space="preserve">Enable Incident Notifications - Support Recommendations</t>
  </si>
  <si>
    <t xml:space="preserve">Check If Recipients are Valid</t>
  </si>
  <si>
    <t xml:space="preserve">Set Email Subject</t>
  </si>
  <si>
    <t xml:space="preserve">Adjust Email Subject for High Severity Events</t>
  </si>
  <si>
    <t xml:space="preserve">Set Email Body</t>
  </si>
  <si>
    <t xml:space="preserve">Add User Message</t>
  </si>
  <si>
    <t xml:space="preserve">Add Support Recommendations</t>
  </si>
  <si>
    <t xml:space="preserve">Add Internal Snooze URL</t>
  </si>
  <si>
    <t xml:space="preserve">Add Internal Path to Snooze URL</t>
  </si>
  <si>
    <t xml:space="preserve">Send Email (Setting: 1xxx)</t>
  </si>
  <si>
    <t xml:space="preserve">Set SNMP Trap Message</t>
  </si>
  <si>
    <t xml:space="preserve">Send SNMP Trap (Setting: x1xx)</t>
  </si>
  <si>
    <t xml:space="preserve">Set Syslog Message</t>
  </si>
  <si>
    <t xml:space="preserve">Send to Syslog (Setting: xx1x)</t>
  </si>
  <si>
    <t xml:space="preserve">Set Log Message</t>
  </si>
  <si>
    <t xml:space="preserve">Write to 'incident.log' (Setting: xxx1)</t>
  </si>
  <si>
    <t xml:space="preserve">Ignore Mail Bomb Warning</t>
  </si>
  <si>
    <t xml:space="preserve">Always Block</t>
  </si>
  <si>
    <t xml:space="preserve">Log Handlers (context)</t>
  </si>
  <si>
    <t xml:space="preserve">Logging format/destination rules — operational, not security enforcement. Listed for completeness.</t>
  </si>
  <si>
    <t xml:space="preserve">Logging</t>
  </si>
  <si>
    <t xml:space="preserve">Ignore 407 Negotiation</t>
  </si>
  <si>
    <t xml:space="preserve">Skip F5 Health Check</t>
  </si>
  <si>
    <t xml:space="preserve">Skip Proxy Utility Access</t>
  </si>
  <si>
    <t xml:space="preserve">Set Error Msg for Auth Failures</t>
  </si>
  <si>
    <t xml:space="preserve">Clear Invalid 407 UserName</t>
  </si>
  <si>
    <t xml:space="preserve">Set GTI Cloud Lookup Status</t>
  </si>
  <si>
    <t xml:space="preserve">Set Malware.Name</t>
  </si>
  <si>
    <t xml:space="preserve">Append Antimalware.VirusNames</t>
  </si>
  <si>
    <t xml:space="preserve">Append AllowGroups</t>
  </si>
  <si>
    <t xml:space="preserve">Embedded Objects Alert</t>
  </si>
  <si>
    <t xml:space="preserve">Escape URL Path, Parameters and Ext</t>
  </si>
  <si>
    <t xml:space="preserve">Write access log</t>
  </si>
  <si>
    <t xml:space="preserve">Send access log via Syslog</t>
  </si>
  <si>
    <t xml:space="preserve">Write PCI log</t>
  </si>
  <si>
    <t xml:space="preserve">Write HICN log</t>
  </si>
  <si>
    <t xml:space="preserve">Write Masked SSN log</t>
  </si>
  <si>
    <t xml:space="preserve">Write SSN log</t>
  </si>
  <si>
    <t xml:space="preserve">Write MemberID log</t>
  </si>
  <si>
    <t xml:space="preserve">Write LongMemberID log</t>
  </si>
  <si>
    <t xml:space="preserve">Write DepID log</t>
  </si>
  <si>
    <t xml:space="preserve">Write GemsID log</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</si>
</sst>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9"/>
      <color rgb="FF5A6560"/>
      <name val="Arial"/>
      <family val="0"/>
      <charset val="1"/>
    </font>
    <font>
      <b val="true"/>
      <sz val="10"/>
      <color rgb="FFFFFFFF"/>
      <name val="Arial"/>
      <family val="0"/>
      <charset val="1"/>
    </font>
    <font>
      <sz val="10"/>
      <name val="Arial"/>
      <family val="0"/>
      <charset val="1"/>
    </font>
    <font>
      <b val="true"/>
      <sz val="12"/>
      <name val="Arial"/>
      <family val="0"/>
      <charset val="1"/>
    </font>
    <font>
      <b val="true"/>
      <sz val="10"/>
      <name val="Arial"/>
      <family val="0"/>
      <charset val="1"/>
    </font>
  </fonts>
  <fills count="8">
    <fill>
      <patternFill patternType="none"/>
    </fill>
    <fill>
      <patternFill patternType="gray125"/>
    </fill>
    <fill>
      <patternFill patternType="solid">
        <fgColor rgb="FF1F3A93"/>
        <bgColor rgb="FF003366"/>
      </patternFill>
    </fill>
    <fill>
      <patternFill patternType="solid">
        <fgColor rgb="FFFFF4E5"/>
        <bgColor rgb="FFFDEBEE"/>
      </patternFill>
    </fill>
    <fill>
      <patternFill patternType="solid">
        <fgColor rgb="FFE3F2E1"/>
        <bgColor rgb="FFE8ECF7"/>
      </patternFill>
    </fill>
    <fill>
      <patternFill patternType="solid">
        <fgColor rgb="FFE8ECF7"/>
        <bgColor rgb="FFF0E6FA"/>
      </patternFill>
    </fill>
    <fill>
      <patternFill patternType="solid">
        <fgColor rgb="FFFDEBEE"/>
        <bgColor rgb="FFFFF4E5"/>
      </patternFill>
    </fill>
    <fill>
      <patternFill patternType="solid">
        <fgColor rgb="FFF0E6FA"/>
        <bgColor rgb="FFE8EC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E5"/>
      <rgbColor rgb="FFE8EC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0E6FA"/>
      <rgbColor rgb="FFE3F2E1"/>
      <rgbColor rgb="FFFDEBEE"/>
      <rgbColor rgb="FF99CCFF"/>
      <rgbColor rgb="FFFF99CC"/>
      <rgbColor rgb="FFCC99FF"/>
      <rgbColor rgb="FFFFCC99"/>
      <rgbColor rgb="FF3366FF"/>
      <rgbColor rgb="FF33CCCC"/>
      <rgbColor rgb="FF99CC00"/>
      <rgbColor rgb="FFFFCC00"/>
      <rgbColor rgb="FFFF9900"/>
      <rgbColor rgb="FFFF6600"/>
      <rgbColor rgb="FF5A6560"/>
      <rgbColor rgb="FF969696"/>
      <rgbColor rgb="FF003366"/>
      <rgbColor rgb="FF339966"/>
      <rgbColor rgb="FF003300"/>
      <rgbColor rgb="FF333300"/>
      <rgbColor rgb="FF993300"/>
      <rgbColor rgb="FF993366"/>
      <rgbColor rgb="FF1F3A9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s>
  <sheetData>
    <row r="1" customFormat="false" ht="18.55"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t="s">
        <v>3</v>
      </c>
    </row>
    <row r="5" customFormat="false" ht="15" hidden="false" customHeight="false" outlineLevel="0" collapsed="false">
      <c r="A5" s="4" t="s">
        <v>4</v>
      </c>
      <c r="B5" s="4" t="n">
        <v>376</v>
      </c>
    </row>
    <row r="6" customFormat="false" ht="15" hidden="false" customHeight="false" outlineLevel="0" collapsed="false">
      <c r="A6" s="4" t="s">
        <v>5</v>
      </c>
      <c r="B6" s="4" t="n">
        <v>72</v>
      </c>
    </row>
    <row r="7" customFormat="false" ht="15" hidden="false" customHeight="false" outlineLevel="0" collapsed="false">
      <c r="A7" s="4" t="s">
        <v>6</v>
      </c>
      <c r="B7" s="4" t="n">
        <v>116</v>
      </c>
    </row>
    <row r="8" customFormat="false" ht="15" hidden="false" customHeight="false" outlineLevel="0" collapsed="false">
      <c r="A8" s="4" t="s">
        <v>7</v>
      </c>
      <c r="B8" s="4" t="n">
        <v>117</v>
      </c>
    </row>
    <row r="9" customFormat="false" ht="15" hidden="false" customHeight="false" outlineLevel="0" collapsed="false">
      <c r="A9" s="4" t="s">
        <v>8</v>
      </c>
      <c r="B9" s="4" t="n">
        <v>23</v>
      </c>
    </row>
    <row r="10" customFormat="false" ht="15" hidden="false" customHeight="false" outlineLevel="0" collapsed="false">
      <c r="A10" s="4" t="s">
        <v>9</v>
      </c>
      <c r="B10" s="4" t="n">
        <v>19</v>
      </c>
    </row>
    <row r="12" customFormat="false" ht="15" hidden="false" customHeight="false" outlineLevel="0" collapsed="false">
      <c r="A12" s="5" t="s">
        <v>10</v>
      </c>
    </row>
    <row r="13" customFormat="false" ht="48" hidden="false" customHeight="true" outlineLevel="0" collapsed="false">
      <c r="A13" s="6" t="s">
        <v>11</v>
      </c>
      <c r="B13" s="6"/>
      <c r="C13" s="6"/>
      <c r="D13" s="6"/>
      <c r="E13" s="6"/>
    </row>
    <row r="14" customFormat="false" ht="48" hidden="false" customHeight="true" outlineLevel="0" collapsed="false">
      <c r="A14" s="6" t="s">
        <v>12</v>
      </c>
      <c r="B14" s="6"/>
      <c r="C14" s="6"/>
      <c r="D14" s="6"/>
      <c r="E14" s="6"/>
    </row>
    <row r="15" customFormat="false" ht="48" hidden="false" customHeight="true" outlineLevel="0" collapsed="false">
      <c r="A15" s="6" t="s">
        <v>13</v>
      </c>
      <c r="B15" s="6"/>
      <c r="C15" s="6"/>
      <c r="D15" s="6"/>
      <c r="E15" s="6"/>
    </row>
    <row r="16" customFormat="false" ht="48" hidden="false" customHeight="true" outlineLevel="0" collapsed="false">
      <c r="A16" s="6" t="s">
        <v>14</v>
      </c>
      <c r="B16" s="6"/>
      <c r="C16" s="6"/>
      <c r="D16" s="6"/>
      <c r="E16" s="6"/>
    </row>
    <row r="17" customFormat="false" ht="48" hidden="false" customHeight="true" outlineLevel="0" collapsed="false">
      <c r="A17" s="6" t="s">
        <v>15</v>
      </c>
      <c r="B17" s="6"/>
      <c r="C17" s="6"/>
      <c r="D17" s="6"/>
      <c r="E17" s="6"/>
    </row>
  </sheetData>
  <mergeCells count="7">
    <mergeCell ref="A1:E1"/>
    <mergeCell ref="A2:E2"/>
    <mergeCell ref="A13:E13"/>
    <mergeCell ref="A14:E14"/>
    <mergeCell ref="A15:E15"/>
    <mergeCell ref="A16:E16"/>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40"/>
    <col collapsed="false" customWidth="true" hidden="false" outlineLevel="0" max="4" min="4" style="0" width="12"/>
    <col collapsed="false" customWidth="true" hidden="false" outlineLevel="0" max="5" min="5" style="0" width="18"/>
    <col collapsed="false" customWidth="true" hidden="false" outlineLevel="0" max="6" min="6" style="0" width="20"/>
    <col collapsed="false" customWidth="true" hidden="false" outlineLevel="0" max="7" min="7" style="0" width="30"/>
    <col collapsed="false" customWidth="true" hidden="false" outlineLevel="0" max="8" min="8" style="0" width="34"/>
    <col collapsed="false" customWidth="true" hidden="false" outlineLevel="0" max="9" min="9" style="0" width="40"/>
  </cols>
  <sheetData>
    <row r="1" customFormat="false" ht="18.55" hidden="false" customHeight="false" outlineLevel="0" collapsed="false">
      <c r="A1" s="1" t="s">
        <v>16</v>
      </c>
      <c r="B1" s="1"/>
      <c r="C1" s="1"/>
      <c r="D1" s="1"/>
      <c r="E1" s="1"/>
      <c r="F1" s="1"/>
      <c r="G1" s="1"/>
      <c r="H1" s="1"/>
      <c r="I1" s="1"/>
    </row>
    <row r="3" customFormat="false" ht="15" hidden="false" customHeight="false" outlineLevel="0" collapsed="false">
      <c r="A3" s="3" t="s">
        <v>17</v>
      </c>
      <c r="B3" s="3" t="s">
        <v>18</v>
      </c>
      <c r="C3" s="3" t="s">
        <v>19</v>
      </c>
      <c r="D3" s="3" t="s">
        <v>20</v>
      </c>
      <c r="E3" s="3" t="s">
        <v>21</v>
      </c>
      <c r="F3" s="3" t="s">
        <v>22</v>
      </c>
      <c r="G3" s="3" t="s">
        <v>23</v>
      </c>
      <c r="H3" s="3" t="s">
        <v>24</v>
      </c>
      <c r="I3" s="3" t="s">
        <v>25</v>
      </c>
    </row>
    <row r="4" customFormat="false" ht="15" hidden="false" customHeight="false" outlineLevel="0" collapsed="false">
      <c r="A4" s="4" t="s">
        <v>26</v>
      </c>
      <c r="B4" s="4" t="s">
        <v>26</v>
      </c>
      <c r="C4" s="4" t="s">
        <v>27</v>
      </c>
      <c r="D4" s="7" t="b">
        <f aca="false">TRUE()</f>
        <v>1</v>
      </c>
      <c r="E4" s="4" t="s">
        <v>28</v>
      </c>
      <c r="F4" s="4" t="s">
        <v>29</v>
      </c>
      <c r="G4" s="4" t="s">
        <v>30</v>
      </c>
      <c r="H4" s="4"/>
      <c r="I4" s="4" t="s">
        <v>31</v>
      </c>
    </row>
    <row r="5" customFormat="false" ht="15" hidden="false" customHeight="false" outlineLevel="0" collapsed="false">
      <c r="A5" s="4" t="s">
        <v>26</v>
      </c>
      <c r="B5" s="4" t="s">
        <v>26</v>
      </c>
      <c r="C5" s="4" t="s">
        <v>32</v>
      </c>
      <c r="D5" s="7" t="b">
        <f aca="false">TRUE()</f>
        <v>1</v>
      </c>
      <c r="E5" s="4" t="s">
        <v>28</v>
      </c>
      <c r="F5" s="4" t="s">
        <v>29</v>
      </c>
      <c r="G5" s="4" t="s">
        <v>30</v>
      </c>
      <c r="H5" s="4"/>
      <c r="I5" s="4"/>
    </row>
    <row r="6" customFormat="false" ht="15" hidden="false" customHeight="false" outlineLevel="0" collapsed="false">
      <c r="A6" s="4" t="s">
        <v>33</v>
      </c>
      <c r="B6" s="4" t="s">
        <v>33</v>
      </c>
      <c r="C6" s="4" t="s">
        <v>34</v>
      </c>
      <c r="D6" s="7" t="b">
        <f aca="false">TRUE()</f>
        <v>1</v>
      </c>
      <c r="E6" s="4" t="s">
        <v>28</v>
      </c>
      <c r="F6" s="8" t="s">
        <v>35</v>
      </c>
      <c r="G6" s="4" t="s">
        <v>36</v>
      </c>
      <c r="H6" s="4"/>
      <c r="I6" s="4" t="s">
        <v>37</v>
      </c>
    </row>
    <row r="7" customFormat="false" ht="15" hidden="false" customHeight="false" outlineLevel="0" collapsed="false">
      <c r="A7" s="4" t="s">
        <v>38</v>
      </c>
      <c r="B7" s="4" t="s">
        <v>38</v>
      </c>
      <c r="C7" s="4" t="s">
        <v>39</v>
      </c>
      <c r="D7" s="7" t="b">
        <f aca="false">TRUE()</f>
        <v>1</v>
      </c>
      <c r="E7" s="4" t="s">
        <v>28</v>
      </c>
      <c r="F7" s="8" t="s">
        <v>35</v>
      </c>
      <c r="G7" s="4" t="s">
        <v>36</v>
      </c>
      <c r="H7" s="4"/>
      <c r="I7" s="4" t="s">
        <v>40</v>
      </c>
    </row>
    <row r="8" customFormat="false" ht="15" hidden="false" customHeight="false" outlineLevel="0" collapsed="false">
      <c r="A8" s="4" t="s">
        <v>38</v>
      </c>
      <c r="B8" s="4" t="s">
        <v>38</v>
      </c>
      <c r="C8" s="4" t="s">
        <v>41</v>
      </c>
      <c r="D8" s="7" t="b">
        <f aca="false">TRUE()</f>
        <v>1</v>
      </c>
      <c r="E8" s="4" t="s">
        <v>28</v>
      </c>
      <c r="F8" s="8" t="s">
        <v>35</v>
      </c>
      <c r="G8" s="4" t="s">
        <v>36</v>
      </c>
      <c r="H8" s="4"/>
      <c r="I8" s="4"/>
    </row>
    <row r="9" customFormat="false" ht="15" hidden="false" customHeight="false" outlineLevel="0" collapsed="false">
      <c r="A9" s="4" t="s">
        <v>38</v>
      </c>
      <c r="B9" s="4" t="s">
        <v>42</v>
      </c>
      <c r="C9" s="4" t="s">
        <v>43</v>
      </c>
      <c r="D9" s="7" t="b">
        <f aca="false">TRUE()</f>
        <v>1</v>
      </c>
      <c r="E9" s="4" t="s">
        <v>44</v>
      </c>
      <c r="F9" s="8" t="s">
        <v>35</v>
      </c>
      <c r="G9" s="4" t="s">
        <v>36</v>
      </c>
      <c r="H9" s="4"/>
      <c r="I9" s="9" t="s">
        <v>45</v>
      </c>
    </row>
    <row r="10" customFormat="false" ht="15" hidden="false" customHeight="false" outlineLevel="0" collapsed="false">
      <c r="A10" s="4" t="s">
        <v>38</v>
      </c>
      <c r="B10" s="4" t="s">
        <v>46</v>
      </c>
      <c r="C10" s="4" t="s">
        <v>47</v>
      </c>
      <c r="D10" s="7" t="b">
        <f aca="false">TRUE()</f>
        <v>1</v>
      </c>
      <c r="E10" s="4" t="s">
        <v>44</v>
      </c>
      <c r="F10" s="10" t="s">
        <v>48</v>
      </c>
      <c r="G10" s="4" t="s">
        <v>49</v>
      </c>
      <c r="H10" s="4" t="s">
        <v>50</v>
      </c>
      <c r="I10" s="4" t="s">
        <v>51</v>
      </c>
    </row>
    <row r="11" customFormat="false" ht="15" hidden="false" customHeight="false" outlineLevel="0" collapsed="false">
      <c r="A11" s="4" t="s">
        <v>38</v>
      </c>
      <c r="B11" s="4" t="s">
        <v>46</v>
      </c>
      <c r="C11" s="4" t="s">
        <v>52</v>
      </c>
      <c r="D11" s="7" t="b">
        <f aca="false">FALSE()</f>
        <v>0</v>
      </c>
      <c r="E11" s="4" t="s">
        <v>44</v>
      </c>
      <c r="F11" s="11" t="s">
        <v>53</v>
      </c>
      <c r="G11" s="4" t="s">
        <v>54</v>
      </c>
      <c r="H11" s="4"/>
      <c r="I11" s="4" t="s">
        <v>55</v>
      </c>
    </row>
    <row r="12" customFormat="false" ht="15" hidden="false" customHeight="false" outlineLevel="0" collapsed="false">
      <c r="A12" s="4" t="s">
        <v>38</v>
      </c>
      <c r="B12" s="4" t="s">
        <v>46</v>
      </c>
      <c r="C12" s="4" t="s">
        <v>56</v>
      </c>
      <c r="D12" s="7" t="b">
        <f aca="false">TRUE()</f>
        <v>1</v>
      </c>
      <c r="E12" s="4" t="s">
        <v>44</v>
      </c>
      <c r="F12" s="8" t="s">
        <v>35</v>
      </c>
      <c r="G12" s="4" t="s">
        <v>36</v>
      </c>
      <c r="H12" s="4"/>
      <c r="I12" s="4"/>
    </row>
    <row r="13" customFormat="false" ht="15" hidden="false" customHeight="false" outlineLevel="0" collapsed="false">
      <c r="A13" s="4" t="s">
        <v>38</v>
      </c>
      <c r="B13" s="4" t="s">
        <v>46</v>
      </c>
      <c r="C13" s="4" t="s">
        <v>52</v>
      </c>
      <c r="D13" s="7" t="b">
        <f aca="false">FALSE()</f>
        <v>0</v>
      </c>
      <c r="E13" s="4" t="s">
        <v>44</v>
      </c>
      <c r="F13" s="10" t="s">
        <v>48</v>
      </c>
      <c r="G13" s="4" t="s">
        <v>49</v>
      </c>
      <c r="H13" s="4" t="s">
        <v>50</v>
      </c>
      <c r="I13" s="4" t="s">
        <v>57</v>
      </c>
    </row>
    <row r="14" customFormat="false" ht="15" hidden="false" customHeight="false" outlineLevel="0" collapsed="false">
      <c r="A14" s="4" t="s">
        <v>38</v>
      </c>
      <c r="B14" s="4" t="s">
        <v>58</v>
      </c>
      <c r="C14" s="4" t="s">
        <v>59</v>
      </c>
      <c r="D14" s="7" t="b">
        <f aca="false">TRUE()</f>
        <v>1</v>
      </c>
      <c r="E14" s="4" t="s">
        <v>44</v>
      </c>
      <c r="F14" s="11" t="s">
        <v>53</v>
      </c>
      <c r="G14" s="4" t="s">
        <v>54</v>
      </c>
      <c r="H14" s="4"/>
      <c r="I14" s="4" t="s">
        <v>60</v>
      </c>
    </row>
    <row r="15" customFormat="false" ht="15" hidden="false" customHeight="false" outlineLevel="0" collapsed="false">
      <c r="A15" s="4" t="s">
        <v>38</v>
      </c>
      <c r="B15" s="4" t="s">
        <v>58</v>
      </c>
      <c r="C15" s="4" t="s">
        <v>61</v>
      </c>
      <c r="D15" s="7" t="b">
        <f aca="false">TRUE()</f>
        <v>1</v>
      </c>
      <c r="E15" s="4" t="s">
        <v>44</v>
      </c>
      <c r="F15" s="11" t="s">
        <v>53</v>
      </c>
      <c r="G15" s="4" t="s">
        <v>54</v>
      </c>
      <c r="H15" s="4"/>
      <c r="I15" s="4" t="s">
        <v>62</v>
      </c>
    </row>
    <row r="16" customFormat="false" ht="15" hidden="false" customHeight="false" outlineLevel="0" collapsed="false">
      <c r="A16" s="4" t="s">
        <v>38</v>
      </c>
      <c r="B16" s="4" t="s">
        <v>63</v>
      </c>
      <c r="C16" s="4" t="s">
        <v>64</v>
      </c>
      <c r="D16" s="7" t="b">
        <f aca="false">TRUE()</f>
        <v>1</v>
      </c>
      <c r="E16" s="4" t="s">
        <v>65</v>
      </c>
      <c r="F16" s="12" t="s">
        <v>66</v>
      </c>
      <c r="G16" s="4" t="s">
        <v>30</v>
      </c>
      <c r="H16" s="4"/>
      <c r="I16" s="4"/>
    </row>
    <row r="17" customFormat="false" ht="15" hidden="false" customHeight="false" outlineLevel="0" collapsed="false">
      <c r="A17" s="4" t="s">
        <v>38</v>
      </c>
      <c r="B17" s="4" t="s">
        <v>63</v>
      </c>
      <c r="C17" s="4" t="s">
        <v>67</v>
      </c>
      <c r="D17" s="7" t="b">
        <f aca="false">TRUE()</f>
        <v>1</v>
      </c>
      <c r="E17" s="4" t="s">
        <v>65</v>
      </c>
      <c r="F17" s="12" t="s">
        <v>66</v>
      </c>
      <c r="G17" s="4" t="s">
        <v>36</v>
      </c>
      <c r="H17" s="4"/>
      <c r="I17" s="4"/>
    </row>
    <row r="18" customFormat="false" ht="15" hidden="false" customHeight="false" outlineLevel="0" collapsed="false">
      <c r="A18" s="4" t="s">
        <v>38</v>
      </c>
      <c r="B18" s="4" t="s">
        <v>68</v>
      </c>
      <c r="C18" s="4" t="s">
        <v>69</v>
      </c>
      <c r="D18" s="7" t="b">
        <f aca="false">TRUE()</f>
        <v>1</v>
      </c>
      <c r="E18" s="4" t="s">
        <v>44</v>
      </c>
      <c r="F18" s="8" t="s">
        <v>35</v>
      </c>
      <c r="G18" s="4" t="s">
        <v>36</v>
      </c>
      <c r="H18" s="4"/>
      <c r="I18" s="4"/>
    </row>
    <row r="19" customFormat="false" ht="15" hidden="false" customHeight="false" outlineLevel="0" collapsed="false">
      <c r="A19" s="4" t="s">
        <v>38</v>
      </c>
      <c r="B19" s="4" t="s">
        <v>68</v>
      </c>
      <c r="C19" s="4" t="s">
        <v>70</v>
      </c>
      <c r="D19" s="7" t="b">
        <f aca="false">TRUE()</f>
        <v>1</v>
      </c>
      <c r="E19" s="4" t="s">
        <v>44</v>
      </c>
      <c r="F19" s="8" t="s">
        <v>35</v>
      </c>
      <c r="G19" s="4" t="s">
        <v>36</v>
      </c>
      <c r="H19" s="4"/>
      <c r="I19" s="4" t="s">
        <v>71</v>
      </c>
    </row>
    <row r="20" customFormat="false" ht="15" hidden="false" customHeight="false" outlineLevel="0" collapsed="false">
      <c r="A20" s="4" t="s">
        <v>38</v>
      </c>
      <c r="B20" s="4" t="s">
        <v>68</v>
      </c>
      <c r="C20" s="4" t="s">
        <v>72</v>
      </c>
      <c r="D20" s="7" t="b">
        <f aca="false">TRUE()</f>
        <v>1</v>
      </c>
      <c r="E20" s="4" t="s">
        <v>44</v>
      </c>
      <c r="F20" s="8" t="s">
        <v>35</v>
      </c>
      <c r="G20" s="4" t="s">
        <v>36</v>
      </c>
      <c r="H20" s="4"/>
      <c r="I20" s="9" t="s">
        <v>73</v>
      </c>
    </row>
    <row r="21" customFormat="false" ht="15" hidden="false" customHeight="false" outlineLevel="0" collapsed="false">
      <c r="A21" s="4" t="s">
        <v>38</v>
      </c>
      <c r="B21" s="4" t="s">
        <v>68</v>
      </c>
      <c r="C21" s="4" t="s">
        <v>74</v>
      </c>
      <c r="D21" s="7" t="b">
        <f aca="false">TRUE()</f>
        <v>1</v>
      </c>
      <c r="E21" s="4" t="s">
        <v>44</v>
      </c>
      <c r="F21" s="8" t="s">
        <v>35</v>
      </c>
      <c r="G21" s="4" t="s">
        <v>36</v>
      </c>
      <c r="H21" s="4"/>
      <c r="I21" s="4" t="s">
        <v>71</v>
      </c>
    </row>
    <row r="22" customFormat="false" ht="15" hidden="false" customHeight="false" outlineLevel="0" collapsed="false">
      <c r="A22" s="4" t="s">
        <v>38</v>
      </c>
      <c r="B22" s="4" t="s">
        <v>68</v>
      </c>
      <c r="C22" s="4" t="s">
        <v>75</v>
      </c>
      <c r="D22" s="7" t="b">
        <f aca="false">TRUE()</f>
        <v>1</v>
      </c>
      <c r="E22" s="4" t="s">
        <v>44</v>
      </c>
      <c r="F22" s="8" t="s">
        <v>35</v>
      </c>
      <c r="G22" s="4" t="s">
        <v>36</v>
      </c>
      <c r="H22" s="4"/>
      <c r="I22" s="4" t="s">
        <v>76</v>
      </c>
    </row>
    <row r="23" customFormat="false" ht="15" hidden="false" customHeight="false" outlineLevel="0" collapsed="false">
      <c r="A23" s="4" t="s">
        <v>38</v>
      </c>
      <c r="B23" s="4" t="s">
        <v>68</v>
      </c>
      <c r="C23" s="4" t="s">
        <v>77</v>
      </c>
      <c r="D23" s="7" t="b">
        <f aca="false">TRUE()</f>
        <v>1</v>
      </c>
      <c r="E23" s="4" t="s">
        <v>44</v>
      </c>
      <c r="F23" s="8" t="s">
        <v>35</v>
      </c>
      <c r="G23" s="4" t="s">
        <v>36</v>
      </c>
      <c r="H23" s="4"/>
      <c r="I23" s="9" t="s">
        <v>78</v>
      </c>
    </row>
    <row r="24" customFormat="false" ht="15" hidden="false" customHeight="false" outlineLevel="0" collapsed="false">
      <c r="A24" s="4" t="s">
        <v>38</v>
      </c>
      <c r="B24" s="4" t="s">
        <v>68</v>
      </c>
      <c r="C24" s="4" t="s">
        <v>79</v>
      </c>
      <c r="D24" s="7" t="b">
        <f aca="false">TRUE()</f>
        <v>1</v>
      </c>
      <c r="E24" s="4" t="s">
        <v>44</v>
      </c>
      <c r="F24" s="8" t="s">
        <v>35</v>
      </c>
      <c r="G24" s="4" t="s">
        <v>36</v>
      </c>
      <c r="H24" s="4"/>
      <c r="I24" s="4" t="s">
        <v>80</v>
      </c>
    </row>
    <row r="25" customFormat="false" ht="15" hidden="false" customHeight="false" outlineLevel="0" collapsed="false">
      <c r="A25" s="4" t="s">
        <v>38</v>
      </c>
      <c r="B25" s="4" t="s">
        <v>68</v>
      </c>
      <c r="C25" s="4" t="s">
        <v>81</v>
      </c>
      <c r="D25" s="7" t="b">
        <f aca="false">TRUE()</f>
        <v>1</v>
      </c>
      <c r="E25" s="4" t="s">
        <v>44</v>
      </c>
      <c r="F25" s="8" t="s">
        <v>35</v>
      </c>
      <c r="G25" s="4" t="s">
        <v>36</v>
      </c>
      <c r="H25" s="4"/>
      <c r="I25" s="4" t="s">
        <v>80</v>
      </c>
    </row>
    <row r="26" customFormat="false" ht="15" hidden="false" customHeight="false" outlineLevel="0" collapsed="false">
      <c r="A26" s="4" t="s">
        <v>38</v>
      </c>
      <c r="B26" s="4" t="s">
        <v>82</v>
      </c>
      <c r="C26" s="4" t="s">
        <v>83</v>
      </c>
      <c r="D26" s="7" t="b">
        <f aca="false">FALSE()</f>
        <v>0</v>
      </c>
      <c r="E26" s="4" t="s">
        <v>44</v>
      </c>
      <c r="F26" s="13" t="s">
        <v>84</v>
      </c>
      <c r="G26" s="4" t="s">
        <v>85</v>
      </c>
      <c r="H26" s="4" t="s">
        <v>86</v>
      </c>
      <c r="I26" s="4"/>
    </row>
    <row r="27" customFormat="false" ht="15" hidden="false" customHeight="false" outlineLevel="0" collapsed="false">
      <c r="A27" s="4" t="s">
        <v>38</v>
      </c>
      <c r="B27" s="4" t="s">
        <v>82</v>
      </c>
      <c r="C27" s="4" t="s">
        <v>83</v>
      </c>
      <c r="D27" s="7" t="b">
        <f aca="false">FALSE()</f>
        <v>0</v>
      </c>
      <c r="E27" s="4" t="s">
        <v>44</v>
      </c>
      <c r="F27" s="13" t="s">
        <v>84</v>
      </c>
      <c r="G27" s="4" t="s">
        <v>85</v>
      </c>
      <c r="H27" s="4" t="s">
        <v>87</v>
      </c>
      <c r="I27" s="4"/>
    </row>
    <row r="28" customFormat="false" ht="15" hidden="false" customHeight="false" outlineLevel="0" collapsed="false">
      <c r="A28" s="4" t="s">
        <v>38</v>
      </c>
      <c r="B28" s="4" t="s">
        <v>82</v>
      </c>
      <c r="C28" s="4" t="s">
        <v>83</v>
      </c>
      <c r="D28" s="7" t="b">
        <f aca="false">FALSE()</f>
        <v>0</v>
      </c>
      <c r="E28" s="4" t="s">
        <v>44</v>
      </c>
      <c r="F28" s="13" t="s">
        <v>84</v>
      </c>
      <c r="G28" s="4" t="s">
        <v>85</v>
      </c>
      <c r="H28" s="4" t="s">
        <v>88</v>
      </c>
      <c r="I28" s="4"/>
    </row>
    <row r="29" customFormat="false" ht="15" hidden="false" customHeight="false" outlineLevel="0" collapsed="false">
      <c r="A29" s="4" t="s">
        <v>38</v>
      </c>
      <c r="B29" s="4" t="s">
        <v>82</v>
      </c>
      <c r="C29" s="4" t="s">
        <v>89</v>
      </c>
      <c r="D29" s="7" t="b">
        <f aca="false">TRUE()</f>
        <v>1</v>
      </c>
      <c r="E29" s="4" t="s">
        <v>44</v>
      </c>
      <c r="F29" s="13" t="s">
        <v>84</v>
      </c>
      <c r="G29" s="4" t="s">
        <v>85</v>
      </c>
      <c r="H29" s="4" t="s">
        <v>90</v>
      </c>
      <c r="I29" s="4"/>
    </row>
    <row r="30" customFormat="false" ht="15" hidden="false" customHeight="false" outlineLevel="0" collapsed="false">
      <c r="A30" s="4" t="s">
        <v>38</v>
      </c>
      <c r="B30" s="4" t="s">
        <v>91</v>
      </c>
      <c r="C30" s="4" t="s">
        <v>92</v>
      </c>
      <c r="D30" s="7" t="b">
        <f aca="false">TRUE()</f>
        <v>1</v>
      </c>
      <c r="E30" s="4" t="s">
        <v>44</v>
      </c>
      <c r="F30" s="4" t="s">
        <v>29</v>
      </c>
      <c r="G30" s="4" t="s">
        <v>30</v>
      </c>
      <c r="H30" s="4"/>
      <c r="I30" s="4"/>
    </row>
    <row r="31" customFormat="false" ht="15" hidden="false" customHeight="false" outlineLevel="0" collapsed="false">
      <c r="A31" s="4" t="s">
        <v>38</v>
      </c>
      <c r="B31" s="4" t="s">
        <v>91</v>
      </c>
      <c r="C31" s="4" t="s">
        <v>93</v>
      </c>
      <c r="D31" s="7" t="b">
        <f aca="false">TRUE()</f>
        <v>1</v>
      </c>
      <c r="E31" s="4" t="s">
        <v>44</v>
      </c>
      <c r="F31" s="8" t="s">
        <v>35</v>
      </c>
      <c r="G31" s="4" t="s">
        <v>36</v>
      </c>
      <c r="H31" s="4"/>
      <c r="I31" s="4" t="s">
        <v>94</v>
      </c>
    </row>
    <row r="32" customFormat="false" ht="15" hidden="false" customHeight="false" outlineLevel="0" collapsed="false">
      <c r="A32" s="4" t="s">
        <v>38</v>
      </c>
      <c r="B32" s="4" t="s">
        <v>91</v>
      </c>
      <c r="C32" s="4" t="s">
        <v>95</v>
      </c>
      <c r="D32" s="7" t="b">
        <f aca="false">TRUE()</f>
        <v>1</v>
      </c>
      <c r="E32" s="4" t="s">
        <v>44</v>
      </c>
      <c r="F32" s="8" t="s">
        <v>35</v>
      </c>
      <c r="G32" s="4" t="s">
        <v>36</v>
      </c>
      <c r="H32" s="4"/>
      <c r="I32" s="4" t="s">
        <v>96</v>
      </c>
    </row>
    <row r="33" customFormat="false" ht="15" hidden="false" customHeight="false" outlineLevel="0" collapsed="false">
      <c r="A33" s="4" t="s">
        <v>38</v>
      </c>
      <c r="B33" s="4" t="s">
        <v>91</v>
      </c>
      <c r="C33" s="4" t="s">
        <v>97</v>
      </c>
      <c r="D33" s="7" t="b">
        <f aca="false">TRUE()</f>
        <v>1</v>
      </c>
      <c r="E33" s="4" t="s">
        <v>44</v>
      </c>
      <c r="F33" s="8" t="s">
        <v>35</v>
      </c>
      <c r="G33" s="4" t="s">
        <v>36</v>
      </c>
      <c r="H33" s="4"/>
      <c r="I33" s="4"/>
    </row>
    <row r="34" customFormat="false" ht="15" hidden="false" customHeight="false" outlineLevel="0" collapsed="false">
      <c r="A34" s="4" t="s">
        <v>38</v>
      </c>
      <c r="B34" s="4" t="s">
        <v>91</v>
      </c>
      <c r="C34" s="4" t="s">
        <v>98</v>
      </c>
      <c r="D34" s="7" t="b">
        <f aca="false">TRUE()</f>
        <v>1</v>
      </c>
      <c r="E34" s="4" t="s">
        <v>44</v>
      </c>
      <c r="F34" s="8" t="s">
        <v>35</v>
      </c>
      <c r="G34" s="4" t="s">
        <v>36</v>
      </c>
      <c r="H34" s="4"/>
      <c r="I34" s="4"/>
    </row>
    <row r="35" customFormat="false" ht="15" hidden="false" customHeight="false" outlineLevel="0" collapsed="false">
      <c r="A35" s="4" t="s">
        <v>38</v>
      </c>
      <c r="B35" s="4" t="s">
        <v>91</v>
      </c>
      <c r="C35" s="4" t="s">
        <v>99</v>
      </c>
      <c r="D35" s="7" t="b">
        <f aca="false">TRUE()</f>
        <v>1</v>
      </c>
      <c r="E35" s="4" t="s">
        <v>44</v>
      </c>
      <c r="F35" s="8" t="s">
        <v>35</v>
      </c>
      <c r="G35" s="4" t="s">
        <v>36</v>
      </c>
      <c r="H35" s="4"/>
      <c r="I35" s="4"/>
    </row>
    <row r="36" customFormat="false" ht="15" hidden="false" customHeight="false" outlineLevel="0" collapsed="false">
      <c r="A36" s="4" t="s">
        <v>38</v>
      </c>
      <c r="B36" s="4" t="s">
        <v>91</v>
      </c>
      <c r="C36" s="4" t="s">
        <v>100</v>
      </c>
      <c r="D36" s="7" t="b">
        <f aca="false">TRUE()</f>
        <v>1</v>
      </c>
      <c r="E36" s="4" t="s">
        <v>44</v>
      </c>
      <c r="F36" s="4" t="s">
        <v>29</v>
      </c>
      <c r="G36" s="4" t="s">
        <v>30</v>
      </c>
      <c r="H36" s="4"/>
      <c r="I36" s="4"/>
    </row>
    <row r="37" customFormat="false" ht="15" hidden="false" customHeight="false" outlineLevel="0" collapsed="false">
      <c r="A37" s="4" t="s">
        <v>38</v>
      </c>
      <c r="B37" s="4" t="s">
        <v>91</v>
      </c>
      <c r="C37" s="4" t="s">
        <v>101</v>
      </c>
      <c r="D37" s="7" t="b">
        <f aca="false">TRUE()</f>
        <v>1</v>
      </c>
      <c r="E37" s="4" t="s">
        <v>44</v>
      </c>
      <c r="F37" s="4" t="s">
        <v>29</v>
      </c>
      <c r="G37" s="4" t="s">
        <v>30</v>
      </c>
      <c r="H37" s="4"/>
      <c r="I37" s="4"/>
    </row>
    <row r="38" customFormat="false" ht="15" hidden="false" customHeight="false" outlineLevel="0" collapsed="false">
      <c r="A38" s="4" t="s">
        <v>38</v>
      </c>
      <c r="B38" s="4" t="s">
        <v>91</v>
      </c>
      <c r="C38" s="4" t="s">
        <v>102</v>
      </c>
      <c r="D38" s="7" t="b">
        <f aca="false">TRUE()</f>
        <v>1</v>
      </c>
      <c r="E38" s="4" t="s">
        <v>44</v>
      </c>
      <c r="F38" s="4" t="s">
        <v>29</v>
      </c>
      <c r="G38" s="4" t="s">
        <v>30</v>
      </c>
      <c r="H38" s="4"/>
      <c r="I38" s="4"/>
    </row>
    <row r="39" customFormat="false" ht="15" hidden="false" customHeight="false" outlineLevel="0" collapsed="false">
      <c r="A39" s="4" t="s">
        <v>38</v>
      </c>
      <c r="B39" s="4" t="s">
        <v>91</v>
      </c>
      <c r="C39" s="4" t="s">
        <v>103</v>
      </c>
      <c r="D39" s="7" t="b">
        <f aca="false">TRUE()</f>
        <v>1</v>
      </c>
      <c r="E39" s="4" t="s">
        <v>44</v>
      </c>
      <c r="F39" s="10" t="s">
        <v>48</v>
      </c>
      <c r="G39" s="4" t="s">
        <v>49</v>
      </c>
      <c r="H39" s="4" t="s">
        <v>104</v>
      </c>
      <c r="I39" s="4"/>
    </row>
    <row r="40" customFormat="false" ht="15" hidden="false" customHeight="false" outlineLevel="0" collapsed="false">
      <c r="A40" s="4" t="s">
        <v>38</v>
      </c>
      <c r="B40" s="4" t="s">
        <v>91</v>
      </c>
      <c r="C40" s="4" t="s">
        <v>105</v>
      </c>
      <c r="D40" s="7" t="b">
        <f aca="false">TRUE()</f>
        <v>1</v>
      </c>
      <c r="E40" s="4" t="s">
        <v>44</v>
      </c>
      <c r="F40" s="10" t="s">
        <v>48</v>
      </c>
      <c r="G40" s="4" t="s">
        <v>49</v>
      </c>
      <c r="H40" s="4" t="s">
        <v>104</v>
      </c>
      <c r="I40" s="4"/>
    </row>
    <row r="41" customFormat="false" ht="15" hidden="false" customHeight="false" outlineLevel="0" collapsed="false">
      <c r="A41" s="4" t="s">
        <v>38</v>
      </c>
      <c r="B41" s="4" t="s">
        <v>91</v>
      </c>
      <c r="C41" s="4" t="s">
        <v>106</v>
      </c>
      <c r="D41" s="7" t="b">
        <f aca="false">TRUE()</f>
        <v>1</v>
      </c>
      <c r="E41" s="4" t="s">
        <v>44</v>
      </c>
      <c r="F41" s="10" t="s">
        <v>48</v>
      </c>
      <c r="G41" s="4" t="s">
        <v>49</v>
      </c>
      <c r="H41" s="4" t="s">
        <v>104</v>
      </c>
      <c r="I41" s="4" t="s">
        <v>107</v>
      </c>
    </row>
    <row r="42" customFormat="false" ht="15" hidden="false" customHeight="false" outlineLevel="0" collapsed="false">
      <c r="A42" s="4" t="s">
        <v>38</v>
      </c>
      <c r="B42" s="4" t="s">
        <v>91</v>
      </c>
      <c r="C42" s="4" t="s">
        <v>108</v>
      </c>
      <c r="D42" s="7" t="b">
        <f aca="false">TRUE()</f>
        <v>1</v>
      </c>
      <c r="E42" s="4" t="s">
        <v>44</v>
      </c>
      <c r="F42" s="10" t="s">
        <v>48</v>
      </c>
      <c r="G42" s="4" t="s">
        <v>49</v>
      </c>
      <c r="H42" s="4" t="s">
        <v>104</v>
      </c>
      <c r="I42" s="4" t="s">
        <v>109</v>
      </c>
    </row>
    <row r="43" customFormat="false" ht="15" hidden="false" customHeight="false" outlineLevel="0" collapsed="false">
      <c r="A43" s="4" t="s">
        <v>38</v>
      </c>
      <c r="B43" s="4" t="s">
        <v>91</v>
      </c>
      <c r="C43" s="4" t="s">
        <v>110</v>
      </c>
      <c r="D43" s="7" t="b">
        <f aca="false">TRUE()</f>
        <v>1</v>
      </c>
      <c r="E43" s="4" t="s">
        <v>44</v>
      </c>
      <c r="F43" s="4" t="s">
        <v>29</v>
      </c>
      <c r="G43" s="4" t="s">
        <v>30</v>
      </c>
      <c r="H43" s="4"/>
      <c r="I43" s="4"/>
    </row>
    <row r="44" customFormat="false" ht="15" hidden="false" customHeight="false" outlineLevel="0" collapsed="false">
      <c r="A44" s="4" t="s">
        <v>38</v>
      </c>
      <c r="B44" s="4" t="s">
        <v>111</v>
      </c>
      <c r="C44" s="4" t="s">
        <v>112</v>
      </c>
      <c r="D44" s="7" t="b">
        <f aca="false">TRUE()</f>
        <v>1</v>
      </c>
      <c r="E44" s="4" t="s">
        <v>113</v>
      </c>
      <c r="F44" s="8" t="s">
        <v>35</v>
      </c>
      <c r="G44" s="4" t="s">
        <v>36</v>
      </c>
      <c r="H44" s="4"/>
      <c r="I44" s="4"/>
    </row>
    <row r="45" customFormat="false" ht="15" hidden="false" customHeight="false" outlineLevel="0" collapsed="false">
      <c r="A45" s="4" t="s">
        <v>38</v>
      </c>
      <c r="B45" s="4" t="s">
        <v>111</v>
      </c>
      <c r="C45" s="4" t="s">
        <v>114</v>
      </c>
      <c r="D45" s="7" t="b">
        <f aca="false">TRUE()</f>
        <v>1</v>
      </c>
      <c r="E45" s="4" t="s">
        <v>113</v>
      </c>
      <c r="F45" s="8" t="s">
        <v>35</v>
      </c>
      <c r="G45" s="4" t="s">
        <v>36</v>
      </c>
      <c r="H45" s="4"/>
      <c r="I45" s="4"/>
    </row>
    <row r="46" customFormat="false" ht="15" hidden="false" customHeight="false" outlineLevel="0" collapsed="false">
      <c r="A46" s="4" t="s">
        <v>38</v>
      </c>
      <c r="B46" s="4" t="s">
        <v>111</v>
      </c>
      <c r="C46" s="4" t="s">
        <v>115</v>
      </c>
      <c r="D46" s="7" t="b">
        <f aca="false">TRUE()</f>
        <v>1</v>
      </c>
      <c r="E46" s="4" t="s">
        <v>113</v>
      </c>
      <c r="F46" s="8" t="s">
        <v>35</v>
      </c>
      <c r="G46" s="4" t="s">
        <v>36</v>
      </c>
      <c r="H46" s="4"/>
      <c r="I46" s="4"/>
    </row>
    <row r="47" customFormat="false" ht="15" hidden="false" customHeight="false" outlineLevel="0" collapsed="false">
      <c r="A47" s="4" t="s">
        <v>38</v>
      </c>
      <c r="B47" s="4" t="s">
        <v>111</v>
      </c>
      <c r="C47" s="4" t="s">
        <v>116</v>
      </c>
      <c r="D47" s="7" t="b">
        <f aca="false">TRUE()</f>
        <v>1</v>
      </c>
      <c r="E47" s="4" t="s">
        <v>113</v>
      </c>
      <c r="F47" s="8" t="s">
        <v>35</v>
      </c>
      <c r="G47" s="4" t="s">
        <v>36</v>
      </c>
      <c r="H47" s="4"/>
      <c r="I47" s="4"/>
    </row>
    <row r="48" customFormat="false" ht="15" hidden="false" customHeight="false" outlineLevel="0" collapsed="false">
      <c r="A48" s="4" t="s">
        <v>38</v>
      </c>
      <c r="B48" s="4" t="s">
        <v>111</v>
      </c>
      <c r="C48" s="4" t="s">
        <v>117</v>
      </c>
      <c r="D48" s="7" t="b">
        <f aca="false">TRUE()</f>
        <v>1</v>
      </c>
      <c r="E48" s="4" t="s">
        <v>113</v>
      </c>
      <c r="F48" s="8" t="s">
        <v>35</v>
      </c>
      <c r="G48" s="4" t="s">
        <v>36</v>
      </c>
      <c r="H48" s="4"/>
      <c r="I48" s="4"/>
    </row>
    <row r="49" customFormat="false" ht="15" hidden="false" customHeight="false" outlineLevel="0" collapsed="false">
      <c r="A49" s="4" t="s">
        <v>38</v>
      </c>
      <c r="B49" s="4" t="s">
        <v>111</v>
      </c>
      <c r="C49" s="4" t="s">
        <v>118</v>
      </c>
      <c r="D49" s="7" t="b">
        <f aca="false">TRUE()</f>
        <v>1</v>
      </c>
      <c r="E49" s="4" t="s">
        <v>113</v>
      </c>
      <c r="F49" s="8" t="s">
        <v>35</v>
      </c>
      <c r="G49" s="4" t="s">
        <v>36</v>
      </c>
      <c r="H49" s="4"/>
      <c r="I49" s="4"/>
    </row>
    <row r="50" customFormat="false" ht="15" hidden="false" customHeight="false" outlineLevel="0" collapsed="false">
      <c r="A50" s="4" t="s">
        <v>38</v>
      </c>
      <c r="B50" s="4" t="s">
        <v>111</v>
      </c>
      <c r="C50" s="4" t="s">
        <v>119</v>
      </c>
      <c r="D50" s="7" t="b">
        <f aca="false">TRUE()</f>
        <v>1</v>
      </c>
      <c r="E50" s="4" t="s">
        <v>113</v>
      </c>
      <c r="F50" s="10" t="s">
        <v>48</v>
      </c>
      <c r="G50" s="4" t="s">
        <v>49</v>
      </c>
      <c r="H50" s="4" t="s">
        <v>120</v>
      </c>
      <c r="I50" s="4"/>
    </row>
    <row r="51" customFormat="false" ht="15" hidden="false" customHeight="false" outlineLevel="0" collapsed="false">
      <c r="A51" s="4" t="s">
        <v>38</v>
      </c>
      <c r="B51" s="4" t="s">
        <v>121</v>
      </c>
      <c r="C51" s="4" t="s">
        <v>122</v>
      </c>
      <c r="D51" s="7" t="b">
        <f aca="false">TRUE()</f>
        <v>1</v>
      </c>
      <c r="E51" s="4" t="s">
        <v>113</v>
      </c>
      <c r="F51" s="10" t="s">
        <v>48</v>
      </c>
      <c r="G51" s="4" t="s">
        <v>49</v>
      </c>
      <c r="H51" s="4" t="s">
        <v>123</v>
      </c>
      <c r="I51" s="4"/>
    </row>
    <row r="52" customFormat="false" ht="15" hidden="false" customHeight="false" outlineLevel="0" collapsed="false">
      <c r="A52" s="4" t="s">
        <v>38</v>
      </c>
      <c r="B52" s="4" t="s">
        <v>124</v>
      </c>
      <c r="C52" s="4" t="s">
        <v>125</v>
      </c>
      <c r="D52" s="7" t="b">
        <f aca="false">TRUE()</f>
        <v>1</v>
      </c>
      <c r="E52" s="4" t="s">
        <v>44</v>
      </c>
      <c r="F52" s="11" t="s">
        <v>53</v>
      </c>
      <c r="G52" s="4" t="s">
        <v>54</v>
      </c>
      <c r="H52" s="4"/>
      <c r="I52" s="4"/>
    </row>
    <row r="53" customFormat="false" ht="15" hidden="false" customHeight="false" outlineLevel="0" collapsed="false">
      <c r="A53" s="4" t="s">
        <v>38</v>
      </c>
      <c r="B53" s="4" t="s">
        <v>124</v>
      </c>
      <c r="C53" s="4" t="s">
        <v>126</v>
      </c>
      <c r="D53" s="7" t="b">
        <f aca="false">TRUE()</f>
        <v>1</v>
      </c>
      <c r="E53" s="4" t="s">
        <v>44</v>
      </c>
      <c r="F53" s="8" t="s">
        <v>35</v>
      </c>
      <c r="G53" s="4" t="s">
        <v>36</v>
      </c>
      <c r="H53" s="4"/>
      <c r="I53" s="4"/>
    </row>
    <row r="54" customFormat="false" ht="15" hidden="false" customHeight="false" outlineLevel="0" collapsed="false">
      <c r="A54" s="4" t="s">
        <v>38</v>
      </c>
      <c r="B54" s="4" t="s">
        <v>124</v>
      </c>
      <c r="C54" s="4" t="s">
        <v>127</v>
      </c>
      <c r="D54" s="7" t="b">
        <f aca="false">TRUE()</f>
        <v>1</v>
      </c>
      <c r="E54" s="4" t="s">
        <v>44</v>
      </c>
      <c r="F54" s="8" t="s">
        <v>35</v>
      </c>
      <c r="G54" s="4" t="s">
        <v>36</v>
      </c>
      <c r="H54" s="4"/>
      <c r="I54" s="4"/>
    </row>
    <row r="55" customFormat="false" ht="15" hidden="false" customHeight="false" outlineLevel="0" collapsed="false">
      <c r="A55" s="4" t="s">
        <v>38</v>
      </c>
      <c r="B55" s="4" t="s">
        <v>124</v>
      </c>
      <c r="C55" s="4" t="s">
        <v>128</v>
      </c>
      <c r="D55" s="7" t="b">
        <f aca="false">TRUE()</f>
        <v>1</v>
      </c>
      <c r="E55" s="4" t="s">
        <v>44</v>
      </c>
      <c r="F55" s="8" t="s">
        <v>35</v>
      </c>
      <c r="G55" s="4" t="s">
        <v>36</v>
      </c>
      <c r="H55" s="4"/>
      <c r="I55" s="9" t="s">
        <v>129</v>
      </c>
    </row>
    <row r="56" customFormat="false" ht="15" hidden="false" customHeight="false" outlineLevel="0" collapsed="false">
      <c r="A56" s="4" t="s">
        <v>38</v>
      </c>
      <c r="B56" s="4" t="s">
        <v>130</v>
      </c>
      <c r="C56" s="4" t="s">
        <v>131</v>
      </c>
      <c r="D56" s="7" t="b">
        <f aca="false">TRUE()</f>
        <v>1</v>
      </c>
      <c r="E56" s="4" t="s">
        <v>44</v>
      </c>
      <c r="F56" s="8" t="s">
        <v>35</v>
      </c>
      <c r="G56" s="4" t="s">
        <v>36</v>
      </c>
      <c r="H56" s="4"/>
      <c r="I56" s="4"/>
    </row>
    <row r="57" customFormat="false" ht="15" hidden="false" customHeight="false" outlineLevel="0" collapsed="false">
      <c r="A57" s="4" t="s">
        <v>38</v>
      </c>
      <c r="B57" s="4" t="s">
        <v>130</v>
      </c>
      <c r="C57" s="4" t="s">
        <v>132</v>
      </c>
      <c r="D57" s="7" t="b">
        <f aca="false">TRUE()</f>
        <v>1</v>
      </c>
      <c r="E57" s="4" t="s">
        <v>44</v>
      </c>
      <c r="F57" s="8" t="s">
        <v>35</v>
      </c>
      <c r="G57" s="4" t="s">
        <v>36</v>
      </c>
      <c r="H57" s="4"/>
      <c r="I57" s="4" t="s">
        <v>133</v>
      </c>
    </row>
    <row r="58" customFormat="false" ht="15" hidden="false" customHeight="false" outlineLevel="0" collapsed="false">
      <c r="A58" s="4" t="s">
        <v>38</v>
      </c>
      <c r="B58" s="4" t="s">
        <v>130</v>
      </c>
      <c r="C58" s="4" t="s">
        <v>134</v>
      </c>
      <c r="D58" s="7" t="b">
        <f aca="false">TRUE()</f>
        <v>1</v>
      </c>
      <c r="E58" s="4" t="s">
        <v>44</v>
      </c>
      <c r="F58" s="11" t="s">
        <v>53</v>
      </c>
      <c r="G58" s="4" t="s">
        <v>54</v>
      </c>
      <c r="H58" s="4"/>
      <c r="I58" s="4"/>
    </row>
    <row r="59" customFormat="false" ht="15" hidden="false" customHeight="false" outlineLevel="0" collapsed="false">
      <c r="A59" s="4" t="s">
        <v>38</v>
      </c>
      <c r="B59" s="4" t="s">
        <v>130</v>
      </c>
      <c r="C59" s="4" t="s">
        <v>135</v>
      </c>
      <c r="D59" s="7" t="b">
        <f aca="false">TRUE()</f>
        <v>1</v>
      </c>
      <c r="E59" s="4" t="s">
        <v>44</v>
      </c>
      <c r="F59" s="11" t="s">
        <v>53</v>
      </c>
      <c r="G59" s="4" t="s">
        <v>54</v>
      </c>
      <c r="H59" s="4"/>
      <c r="I59" s="4"/>
    </row>
    <row r="60" customFormat="false" ht="15" hidden="false" customHeight="false" outlineLevel="0" collapsed="false">
      <c r="A60" s="4" t="s">
        <v>38</v>
      </c>
      <c r="B60" s="4" t="s">
        <v>130</v>
      </c>
      <c r="C60" s="4" t="s">
        <v>136</v>
      </c>
      <c r="D60" s="7" t="b">
        <f aca="false">TRUE()</f>
        <v>1</v>
      </c>
      <c r="E60" s="4" t="s">
        <v>44</v>
      </c>
      <c r="F60" s="10" t="s">
        <v>48</v>
      </c>
      <c r="G60" s="4" t="s">
        <v>49</v>
      </c>
      <c r="H60" s="4" t="s">
        <v>137</v>
      </c>
      <c r="I60" s="4" t="s">
        <v>138</v>
      </c>
    </row>
    <row r="61" customFormat="false" ht="15" hidden="false" customHeight="false" outlineLevel="0" collapsed="false">
      <c r="A61" s="4" t="s">
        <v>38</v>
      </c>
      <c r="B61" s="4" t="s">
        <v>139</v>
      </c>
      <c r="C61" s="4" t="s">
        <v>140</v>
      </c>
      <c r="D61" s="7" t="b">
        <f aca="false">FALSE()</f>
        <v>0</v>
      </c>
      <c r="E61" s="4" t="s">
        <v>44</v>
      </c>
      <c r="F61" s="4" t="s">
        <v>29</v>
      </c>
      <c r="G61" s="4" t="s">
        <v>30</v>
      </c>
      <c r="H61" s="4"/>
      <c r="I61" s="4"/>
    </row>
    <row r="62" customFormat="false" ht="15" hidden="false" customHeight="false" outlineLevel="0" collapsed="false">
      <c r="A62" s="4" t="s">
        <v>38</v>
      </c>
      <c r="B62" s="4" t="s">
        <v>139</v>
      </c>
      <c r="C62" s="4" t="s">
        <v>141</v>
      </c>
      <c r="D62" s="7" t="b">
        <f aca="false">TRUE()</f>
        <v>1</v>
      </c>
      <c r="E62" s="4" t="s">
        <v>44</v>
      </c>
      <c r="F62" s="4" t="s">
        <v>29</v>
      </c>
      <c r="G62" s="4" t="s">
        <v>30</v>
      </c>
      <c r="H62" s="4"/>
      <c r="I62" s="4" t="s">
        <v>142</v>
      </c>
    </row>
    <row r="63" customFormat="false" ht="15" hidden="false" customHeight="false" outlineLevel="0" collapsed="false">
      <c r="A63" s="4" t="s">
        <v>38</v>
      </c>
      <c r="B63" s="4" t="s">
        <v>139</v>
      </c>
      <c r="C63" s="4" t="s">
        <v>143</v>
      </c>
      <c r="D63" s="7" t="b">
        <f aca="false">TRUE()</f>
        <v>1</v>
      </c>
      <c r="E63" s="4" t="s">
        <v>44</v>
      </c>
      <c r="F63" s="4" t="s">
        <v>29</v>
      </c>
      <c r="G63" s="4" t="s">
        <v>30</v>
      </c>
      <c r="H63" s="4"/>
      <c r="I63" s="4" t="s">
        <v>144</v>
      </c>
    </row>
    <row r="64" customFormat="false" ht="15" hidden="false" customHeight="false" outlineLevel="0" collapsed="false">
      <c r="A64" s="4" t="s">
        <v>38</v>
      </c>
      <c r="B64" s="4" t="s">
        <v>139</v>
      </c>
      <c r="C64" s="4" t="s">
        <v>145</v>
      </c>
      <c r="D64" s="7" t="b">
        <f aca="false">FALSE()</f>
        <v>0</v>
      </c>
      <c r="E64" s="4" t="s">
        <v>44</v>
      </c>
      <c r="F64" s="8" t="s">
        <v>35</v>
      </c>
      <c r="G64" s="4" t="s">
        <v>36</v>
      </c>
      <c r="H64" s="4"/>
      <c r="I64" s="4" t="s">
        <v>146</v>
      </c>
    </row>
    <row r="65" customFormat="false" ht="15" hidden="false" customHeight="false" outlineLevel="0" collapsed="false">
      <c r="A65" s="4" t="s">
        <v>38</v>
      </c>
      <c r="B65" s="4" t="s">
        <v>139</v>
      </c>
      <c r="C65" s="4" t="s">
        <v>147</v>
      </c>
      <c r="D65" s="7" t="b">
        <f aca="false">TRUE()</f>
        <v>1</v>
      </c>
      <c r="E65" s="4" t="s">
        <v>44</v>
      </c>
      <c r="F65" s="8" t="s">
        <v>35</v>
      </c>
      <c r="G65" s="4" t="s">
        <v>36</v>
      </c>
      <c r="H65" s="4"/>
      <c r="I65" s="4" t="s">
        <v>148</v>
      </c>
    </row>
    <row r="66" customFormat="false" ht="15" hidden="false" customHeight="false" outlineLevel="0" collapsed="false">
      <c r="A66" s="4" t="s">
        <v>38</v>
      </c>
      <c r="B66" s="4" t="s">
        <v>149</v>
      </c>
      <c r="C66" s="4" t="s">
        <v>150</v>
      </c>
      <c r="D66" s="7" t="b">
        <f aca="false">TRUE()</f>
        <v>1</v>
      </c>
      <c r="E66" s="4" t="s">
        <v>44</v>
      </c>
      <c r="F66" s="8" t="s">
        <v>35</v>
      </c>
      <c r="G66" s="4" t="s">
        <v>36</v>
      </c>
      <c r="H66" s="4"/>
      <c r="I66" s="4" t="s">
        <v>151</v>
      </c>
    </row>
    <row r="67" customFormat="false" ht="15" hidden="false" customHeight="false" outlineLevel="0" collapsed="false">
      <c r="A67" s="4" t="s">
        <v>152</v>
      </c>
      <c r="B67" s="4" t="s">
        <v>152</v>
      </c>
      <c r="C67" s="4" t="s">
        <v>153</v>
      </c>
      <c r="D67" s="7" t="b">
        <f aca="false">TRUE()</f>
        <v>1</v>
      </c>
      <c r="E67" s="4" t="s">
        <v>28</v>
      </c>
      <c r="F67" s="4" t="s">
        <v>29</v>
      </c>
      <c r="G67" s="4" t="s">
        <v>30</v>
      </c>
      <c r="H67" s="4"/>
      <c r="I67" s="4"/>
    </row>
    <row r="68" customFormat="false" ht="15" hidden="false" customHeight="false" outlineLevel="0" collapsed="false">
      <c r="A68" s="4" t="s">
        <v>152</v>
      </c>
      <c r="B68" s="4" t="s">
        <v>152</v>
      </c>
      <c r="C68" s="4" t="s">
        <v>154</v>
      </c>
      <c r="D68" s="7" t="b">
        <f aca="false">TRUE()</f>
        <v>1</v>
      </c>
      <c r="E68" s="4" t="s">
        <v>28</v>
      </c>
      <c r="F68" s="4" t="s">
        <v>29</v>
      </c>
      <c r="G68" s="4" t="s">
        <v>30</v>
      </c>
      <c r="H68" s="4"/>
      <c r="I68" s="4"/>
    </row>
    <row r="69" customFormat="false" ht="15" hidden="false" customHeight="false" outlineLevel="0" collapsed="false">
      <c r="A69" s="4" t="s">
        <v>152</v>
      </c>
      <c r="B69" s="4" t="s">
        <v>152</v>
      </c>
      <c r="C69" s="4" t="s">
        <v>155</v>
      </c>
      <c r="D69" s="7" t="b">
        <f aca="false">TRUE()</f>
        <v>1</v>
      </c>
      <c r="E69" s="4" t="s">
        <v>28</v>
      </c>
      <c r="F69" s="4" t="s">
        <v>29</v>
      </c>
      <c r="G69" s="4" t="s">
        <v>30</v>
      </c>
      <c r="H69" s="4"/>
      <c r="I69" s="4" t="s">
        <v>156</v>
      </c>
    </row>
    <row r="70" customFormat="false" ht="15" hidden="false" customHeight="false" outlineLevel="0" collapsed="false">
      <c r="A70" s="4" t="s">
        <v>152</v>
      </c>
      <c r="B70" s="4" t="s">
        <v>152</v>
      </c>
      <c r="C70" s="4" t="s">
        <v>157</v>
      </c>
      <c r="D70" s="7" t="b">
        <f aca="false">TRUE()</f>
        <v>1</v>
      </c>
      <c r="E70" s="4" t="s">
        <v>28</v>
      </c>
      <c r="F70" s="10" t="s">
        <v>48</v>
      </c>
      <c r="G70" s="4" t="s">
        <v>49</v>
      </c>
      <c r="H70" s="4" t="s">
        <v>158</v>
      </c>
      <c r="I70" s="4"/>
    </row>
    <row r="71" customFormat="false" ht="15" hidden="false" customHeight="false" outlineLevel="0" collapsed="false">
      <c r="A71" s="4" t="s">
        <v>152</v>
      </c>
      <c r="B71" s="4" t="s">
        <v>152</v>
      </c>
      <c r="C71" s="4" t="s">
        <v>159</v>
      </c>
      <c r="D71" s="7" t="b">
        <f aca="false">TRUE()</f>
        <v>1</v>
      </c>
      <c r="E71" s="4" t="s">
        <v>28</v>
      </c>
      <c r="F71" s="8" t="s">
        <v>35</v>
      </c>
      <c r="G71" s="4" t="s">
        <v>36</v>
      </c>
      <c r="H71" s="4"/>
      <c r="I71" s="4"/>
    </row>
    <row r="72" customFormat="false" ht="15" hidden="false" customHeight="false" outlineLevel="0" collapsed="false">
      <c r="A72" s="4" t="s">
        <v>152</v>
      </c>
      <c r="B72" s="4" t="s">
        <v>152</v>
      </c>
      <c r="C72" s="4" t="s">
        <v>160</v>
      </c>
      <c r="D72" s="7" t="b">
        <f aca="false">FALSE()</f>
        <v>0</v>
      </c>
      <c r="E72" s="4" t="s">
        <v>28</v>
      </c>
      <c r="F72" s="10" t="s">
        <v>48</v>
      </c>
      <c r="G72" s="4" t="s">
        <v>49</v>
      </c>
      <c r="H72" s="4" t="s">
        <v>158</v>
      </c>
      <c r="I72" s="4" t="s">
        <v>161</v>
      </c>
    </row>
    <row r="73" customFormat="false" ht="15" hidden="false" customHeight="false" outlineLevel="0" collapsed="false">
      <c r="A73" s="4" t="s">
        <v>162</v>
      </c>
      <c r="B73" s="4" t="s">
        <v>162</v>
      </c>
      <c r="C73" s="4" t="s">
        <v>163</v>
      </c>
      <c r="D73" s="7" t="b">
        <f aca="false">TRUE()</f>
        <v>1</v>
      </c>
      <c r="E73" s="4" t="s">
        <v>28</v>
      </c>
      <c r="F73" s="11" t="s">
        <v>53</v>
      </c>
      <c r="G73" s="4" t="s">
        <v>54</v>
      </c>
      <c r="H73" s="4"/>
      <c r="I73" s="4" t="s">
        <v>164</v>
      </c>
    </row>
    <row r="74" customFormat="false" ht="15" hidden="false" customHeight="false" outlineLevel="0" collapsed="false">
      <c r="A74" s="4" t="s">
        <v>162</v>
      </c>
      <c r="B74" s="4" t="s">
        <v>162</v>
      </c>
      <c r="C74" s="4" t="s">
        <v>165</v>
      </c>
      <c r="D74" s="7" t="b">
        <f aca="false">TRUE()</f>
        <v>1</v>
      </c>
      <c r="E74" s="4" t="s">
        <v>28</v>
      </c>
      <c r="F74" s="11" t="s">
        <v>53</v>
      </c>
      <c r="G74" s="4" t="s">
        <v>54</v>
      </c>
      <c r="H74" s="4"/>
      <c r="I74" s="4"/>
    </row>
    <row r="75" customFormat="false" ht="15" hidden="false" customHeight="false" outlineLevel="0" collapsed="false">
      <c r="A75" s="4" t="s">
        <v>162</v>
      </c>
      <c r="B75" s="4" t="s">
        <v>162</v>
      </c>
      <c r="C75" s="4" t="s">
        <v>166</v>
      </c>
      <c r="D75" s="7" t="b">
        <f aca="false">TRUE()</f>
        <v>1</v>
      </c>
      <c r="E75" s="4" t="s">
        <v>28</v>
      </c>
      <c r="F75" s="4" t="s">
        <v>29</v>
      </c>
      <c r="G75" s="4" t="s">
        <v>30</v>
      </c>
      <c r="H75" s="4"/>
      <c r="I75" s="4"/>
    </row>
    <row r="76" customFormat="false" ht="15" hidden="false" customHeight="false" outlineLevel="0" collapsed="false">
      <c r="A76" s="4" t="s">
        <v>162</v>
      </c>
      <c r="B76" s="4" t="s">
        <v>162</v>
      </c>
      <c r="C76" s="4" t="s">
        <v>167</v>
      </c>
      <c r="D76" s="7" t="b">
        <f aca="false">TRUE()</f>
        <v>1</v>
      </c>
      <c r="E76" s="4" t="s">
        <v>28</v>
      </c>
      <c r="F76" s="4" t="s">
        <v>29</v>
      </c>
      <c r="G76" s="4" t="s">
        <v>30</v>
      </c>
      <c r="H76" s="4"/>
      <c r="I76" s="4"/>
    </row>
    <row r="77" customFormat="false" ht="15" hidden="false" customHeight="false" outlineLevel="0" collapsed="false">
      <c r="A77" s="4" t="s">
        <v>162</v>
      </c>
      <c r="B77" s="4" t="s">
        <v>162</v>
      </c>
      <c r="C77" s="4" t="s">
        <v>168</v>
      </c>
      <c r="D77" s="7" t="b">
        <f aca="false">TRUE()</f>
        <v>1</v>
      </c>
      <c r="E77" s="4" t="s">
        <v>28</v>
      </c>
      <c r="F77" s="4" t="s">
        <v>29</v>
      </c>
      <c r="G77" s="4" t="s">
        <v>30</v>
      </c>
      <c r="H77" s="4"/>
      <c r="I77" s="4"/>
    </row>
    <row r="78" customFormat="false" ht="15" hidden="false" customHeight="false" outlineLevel="0" collapsed="false">
      <c r="A78" s="4" t="s">
        <v>162</v>
      </c>
      <c r="B78" s="4" t="s">
        <v>162</v>
      </c>
      <c r="C78" s="4" t="s">
        <v>169</v>
      </c>
      <c r="D78" s="7" t="b">
        <f aca="false">TRUE()</f>
        <v>1</v>
      </c>
      <c r="E78" s="4" t="s">
        <v>28</v>
      </c>
      <c r="F78" s="4" t="s">
        <v>29</v>
      </c>
      <c r="G78" s="4" t="s">
        <v>30</v>
      </c>
      <c r="H78" s="4"/>
      <c r="I78" s="4"/>
    </row>
    <row r="79" customFormat="false" ht="15" hidden="false" customHeight="false" outlineLevel="0" collapsed="false">
      <c r="A79" s="4" t="s">
        <v>162</v>
      </c>
      <c r="B79" s="4" t="s">
        <v>162</v>
      </c>
      <c r="C79" s="4" t="s">
        <v>170</v>
      </c>
      <c r="D79" s="7" t="b">
        <f aca="false">TRUE()</f>
        <v>1</v>
      </c>
      <c r="E79" s="4" t="s">
        <v>28</v>
      </c>
      <c r="F79" s="4" t="s">
        <v>29</v>
      </c>
      <c r="G79" s="4" t="s">
        <v>30</v>
      </c>
      <c r="H79" s="4"/>
      <c r="I79" s="4"/>
    </row>
    <row r="80" customFormat="false" ht="15" hidden="false" customHeight="false" outlineLevel="0" collapsed="false">
      <c r="A80" s="4" t="s">
        <v>162</v>
      </c>
      <c r="B80" s="4" t="s">
        <v>162</v>
      </c>
      <c r="C80" s="4" t="s">
        <v>171</v>
      </c>
      <c r="D80" s="7" t="b">
        <f aca="false">TRUE()</f>
        <v>1</v>
      </c>
      <c r="E80" s="4" t="s">
        <v>28</v>
      </c>
      <c r="F80" s="4" t="s">
        <v>29</v>
      </c>
      <c r="G80" s="4" t="s">
        <v>30</v>
      </c>
      <c r="H80" s="4"/>
      <c r="I80" s="4"/>
    </row>
    <row r="81" customFormat="false" ht="15" hidden="false" customHeight="false" outlineLevel="0" collapsed="false">
      <c r="A81" s="4" t="s">
        <v>162</v>
      </c>
      <c r="B81" s="4" t="s">
        <v>162</v>
      </c>
      <c r="C81" s="4" t="s">
        <v>172</v>
      </c>
      <c r="D81" s="7" t="b">
        <f aca="false">TRUE()</f>
        <v>1</v>
      </c>
      <c r="E81" s="4" t="s">
        <v>28</v>
      </c>
      <c r="F81" s="4" t="s">
        <v>29</v>
      </c>
      <c r="G81" s="4" t="s">
        <v>30</v>
      </c>
      <c r="H81" s="4"/>
      <c r="I81" s="4"/>
    </row>
    <row r="82" customFormat="false" ht="15" hidden="false" customHeight="false" outlineLevel="0" collapsed="false">
      <c r="A82" s="4" t="s">
        <v>162</v>
      </c>
      <c r="B82" s="4" t="s">
        <v>162</v>
      </c>
      <c r="C82" s="4" t="s">
        <v>173</v>
      </c>
      <c r="D82" s="7" t="b">
        <f aca="false">TRUE()</f>
        <v>1</v>
      </c>
      <c r="E82" s="4" t="s">
        <v>28</v>
      </c>
      <c r="F82" s="4" t="s">
        <v>29</v>
      </c>
      <c r="G82" s="4" t="s">
        <v>30</v>
      </c>
      <c r="H82" s="4"/>
      <c r="I82" s="4"/>
    </row>
    <row r="83" customFormat="false" ht="15" hidden="false" customHeight="false" outlineLevel="0" collapsed="false">
      <c r="A83" s="4" t="s">
        <v>162</v>
      </c>
      <c r="B83" s="4" t="s">
        <v>162</v>
      </c>
      <c r="C83" s="4" t="s">
        <v>174</v>
      </c>
      <c r="D83" s="7" t="b">
        <f aca="false">FALSE()</f>
        <v>0</v>
      </c>
      <c r="E83" s="4" t="s">
        <v>28</v>
      </c>
      <c r="F83" s="4" t="s">
        <v>29</v>
      </c>
      <c r="G83" s="4" t="s">
        <v>30</v>
      </c>
      <c r="H83" s="4"/>
      <c r="I83" s="4"/>
    </row>
    <row r="84" customFormat="false" ht="15" hidden="false" customHeight="false" outlineLevel="0" collapsed="false">
      <c r="A84" s="4" t="s">
        <v>162</v>
      </c>
      <c r="B84" s="4" t="s">
        <v>162</v>
      </c>
      <c r="C84" s="4" t="s">
        <v>175</v>
      </c>
      <c r="D84" s="7" t="b">
        <f aca="false">TRUE()</f>
        <v>1</v>
      </c>
      <c r="E84" s="4" t="s">
        <v>28</v>
      </c>
      <c r="F84" s="4" t="s">
        <v>29</v>
      </c>
      <c r="G84" s="4" t="s">
        <v>30</v>
      </c>
      <c r="H84" s="4"/>
      <c r="I84" s="4"/>
    </row>
    <row r="85" customFormat="false" ht="15" hidden="false" customHeight="false" outlineLevel="0" collapsed="false">
      <c r="A85" s="4" t="s">
        <v>162</v>
      </c>
      <c r="B85" s="4" t="s">
        <v>162</v>
      </c>
      <c r="C85" s="4" t="s">
        <v>176</v>
      </c>
      <c r="D85" s="7" t="b">
        <f aca="false">FALSE()</f>
        <v>0</v>
      </c>
      <c r="E85" s="4" t="s">
        <v>28</v>
      </c>
      <c r="F85" s="4" t="s">
        <v>29</v>
      </c>
      <c r="G85" s="4" t="s">
        <v>30</v>
      </c>
      <c r="H85" s="4"/>
      <c r="I85" s="4"/>
    </row>
    <row r="86" customFormat="false" ht="15" hidden="false" customHeight="false" outlineLevel="0" collapsed="false">
      <c r="A86" s="4" t="s">
        <v>162</v>
      </c>
      <c r="B86" s="4" t="s">
        <v>162</v>
      </c>
      <c r="C86" s="4" t="s">
        <v>176</v>
      </c>
      <c r="D86" s="7" t="b">
        <f aca="false">TRUE()</f>
        <v>1</v>
      </c>
      <c r="E86" s="4" t="s">
        <v>28</v>
      </c>
      <c r="F86" s="4" t="s">
        <v>29</v>
      </c>
      <c r="G86" s="4" t="s">
        <v>30</v>
      </c>
      <c r="H86" s="4"/>
      <c r="I86" s="4"/>
    </row>
    <row r="87" customFormat="false" ht="15" hidden="false" customHeight="false" outlineLevel="0" collapsed="false">
      <c r="A87" s="4" t="s">
        <v>162</v>
      </c>
      <c r="B87" s="4" t="s">
        <v>162</v>
      </c>
      <c r="C87" s="4" t="s">
        <v>177</v>
      </c>
      <c r="D87" s="7" t="b">
        <f aca="false">TRUE()</f>
        <v>1</v>
      </c>
      <c r="E87" s="4" t="s">
        <v>28</v>
      </c>
      <c r="F87" s="4" t="s">
        <v>29</v>
      </c>
      <c r="G87" s="4" t="s">
        <v>30</v>
      </c>
      <c r="H87" s="4"/>
      <c r="I87" s="4"/>
    </row>
    <row r="88" customFormat="false" ht="15" hidden="false" customHeight="false" outlineLevel="0" collapsed="false">
      <c r="A88" s="4" t="s">
        <v>178</v>
      </c>
      <c r="B88" s="4" t="s">
        <v>178</v>
      </c>
      <c r="C88" s="4" t="s">
        <v>179</v>
      </c>
      <c r="D88" s="7" t="b">
        <f aca="false">TRUE()</f>
        <v>1</v>
      </c>
      <c r="E88" s="4" t="s">
        <v>28</v>
      </c>
      <c r="F88" s="4" t="s">
        <v>29</v>
      </c>
      <c r="G88" s="4" t="s">
        <v>30</v>
      </c>
      <c r="H88" s="4"/>
      <c r="I88" s="4"/>
    </row>
    <row r="89" customFormat="false" ht="15" hidden="false" customHeight="false" outlineLevel="0" collapsed="false">
      <c r="A89" s="4" t="s">
        <v>178</v>
      </c>
      <c r="B89" s="4" t="s">
        <v>178</v>
      </c>
      <c r="C89" s="4" t="s">
        <v>180</v>
      </c>
      <c r="D89" s="7" t="b">
        <f aca="false">TRUE()</f>
        <v>1</v>
      </c>
      <c r="E89" s="4" t="s">
        <v>28</v>
      </c>
      <c r="F89" s="4" t="s">
        <v>29</v>
      </c>
      <c r="G89" s="4" t="s">
        <v>30</v>
      </c>
      <c r="H89" s="4"/>
      <c r="I89" s="4"/>
    </row>
    <row r="90" customFormat="false" ht="15" hidden="false" customHeight="false" outlineLevel="0" collapsed="false">
      <c r="A90" s="4" t="s">
        <v>181</v>
      </c>
      <c r="B90" s="4" t="s">
        <v>181</v>
      </c>
      <c r="C90" s="4" t="s">
        <v>182</v>
      </c>
      <c r="D90" s="7" t="b">
        <f aca="false">TRUE()</f>
        <v>1</v>
      </c>
      <c r="E90" s="4" t="s">
        <v>28</v>
      </c>
      <c r="F90" s="8" t="s">
        <v>35</v>
      </c>
      <c r="G90" s="4" t="s">
        <v>36</v>
      </c>
      <c r="H90" s="4"/>
      <c r="I90" s="4" t="s">
        <v>183</v>
      </c>
    </row>
    <row r="91" customFormat="false" ht="15" hidden="false" customHeight="false" outlineLevel="0" collapsed="false">
      <c r="A91" s="4" t="s">
        <v>184</v>
      </c>
      <c r="B91" s="4" t="s">
        <v>184</v>
      </c>
      <c r="C91" s="4" t="s">
        <v>185</v>
      </c>
      <c r="D91" s="7" t="b">
        <f aca="false">TRUE()</f>
        <v>1</v>
      </c>
      <c r="E91" s="4" t="s">
        <v>28</v>
      </c>
      <c r="F91" s="11" t="s">
        <v>53</v>
      </c>
      <c r="G91" s="4" t="s">
        <v>54</v>
      </c>
      <c r="H91" s="4"/>
      <c r="I91" s="4" t="s">
        <v>186</v>
      </c>
    </row>
    <row r="92" customFormat="false" ht="15" hidden="false" customHeight="false" outlineLevel="0" collapsed="false">
      <c r="A92" s="4" t="s">
        <v>184</v>
      </c>
      <c r="B92" s="4" t="s">
        <v>184</v>
      </c>
      <c r="C92" s="4" t="s">
        <v>187</v>
      </c>
      <c r="D92" s="7" t="b">
        <f aca="false">TRUE()</f>
        <v>1</v>
      </c>
      <c r="E92" s="4" t="s">
        <v>28</v>
      </c>
      <c r="F92" s="11" t="s">
        <v>53</v>
      </c>
      <c r="G92" s="4" t="s">
        <v>54</v>
      </c>
      <c r="H92" s="4"/>
      <c r="I92" s="4" t="s">
        <v>188</v>
      </c>
    </row>
    <row r="93" customFormat="false" ht="15" hidden="false" customHeight="false" outlineLevel="0" collapsed="false">
      <c r="A93" s="4" t="s">
        <v>184</v>
      </c>
      <c r="B93" s="4" t="s">
        <v>184</v>
      </c>
      <c r="C93" s="4" t="s">
        <v>189</v>
      </c>
      <c r="D93" s="7" t="b">
        <f aca="false">TRUE()</f>
        <v>1</v>
      </c>
      <c r="E93" s="4" t="s">
        <v>28</v>
      </c>
      <c r="F93" s="11" t="s">
        <v>53</v>
      </c>
      <c r="G93" s="4" t="s">
        <v>54</v>
      </c>
      <c r="H93" s="4"/>
      <c r="I93" s="4"/>
    </row>
    <row r="94" customFormat="false" ht="15" hidden="false" customHeight="false" outlineLevel="0" collapsed="false">
      <c r="A94" s="4" t="s">
        <v>184</v>
      </c>
      <c r="B94" s="4" t="s">
        <v>184</v>
      </c>
      <c r="C94" s="4" t="s">
        <v>190</v>
      </c>
      <c r="D94" s="7" t="b">
        <f aca="false">TRUE()</f>
        <v>1</v>
      </c>
      <c r="E94" s="4" t="s">
        <v>28</v>
      </c>
      <c r="F94" s="11" t="s">
        <v>53</v>
      </c>
      <c r="G94" s="4" t="s">
        <v>54</v>
      </c>
      <c r="H94" s="4"/>
      <c r="I94" s="4"/>
    </row>
    <row r="95" customFormat="false" ht="15" hidden="false" customHeight="false" outlineLevel="0" collapsed="false">
      <c r="A95" s="4" t="s">
        <v>184</v>
      </c>
      <c r="B95" s="4" t="s">
        <v>184</v>
      </c>
      <c r="C95" s="4" t="s">
        <v>191</v>
      </c>
      <c r="D95" s="7" t="b">
        <f aca="false">TRUE()</f>
        <v>1</v>
      </c>
      <c r="E95" s="4" t="s">
        <v>28</v>
      </c>
      <c r="F95" s="11" t="s">
        <v>53</v>
      </c>
      <c r="G95" s="4" t="s">
        <v>54</v>
      </c>
      <c r="H95" s="4"/>
      <c r="I95" s="4"/>
    </row>
    <row r="96" customFormat="false" ht="15" hidden="false" customHeight="false" outlineLevel="0" collapsed="false">
      <c r="A96" s="4" t="s">
        <v>184</v>
      </c>
      <c r="B96" s="4" t="s">
        <v>184</v>
      </c>
      <c r="C96" s="4" t="s">
        <v>192</v>
      </c>
      <c r="D96" s="7" t="b">
        <f aca="false">TRUE()</f>
        <v>1</v>
      </c>
      <c r="E96" s="4" t="s">
        <v>28</v>
      </c>
      <c r="F96" s="11" t="s">
        <v>53</v>
      </c>
      <c r="G96" s="4" t="s">
        <v>54</v>
      </c>
      <c r="H96" s="4"/>
      <c r="I96" s="4"/>
    </row>
    <row r="97" customFormat="false" ht="15" hidden="false" customHeight="false" outlineLevel="0" collapsed="false">
      <c r="A97" s="4" t="s">
        <v>184</v>
      </c>
      <c r="B97" s="4" t="s">
        <v>193</v>
      </c>
      <c r="C97" s="4" t="s">
        <v>194</v>
      </c>
      <c r="D97" s="7" t="b">
        <f aca="false">TRUE()</f>
        <v>1</v>
      </c>
      <c r="E97" s="4" t="s">
        <v>44</v>
      </c>
      <c r="F97" s="8" t="s">
        <v>35</v>
      </c>
      <c r="G97" s="4" t="s">
        <v>36</v>
      </c>
      <c r="H97" s="4"/>
      <c r="I97" s="4" t="s">
        <v>195</v>
      </c>
    </row>
    <row r="98" customFormat="false" ht="15" hidden="false" customHeight="false" outlineLevel="0" collapsed="false">
      <c r="A98" s="4" t="s">
        <v>184</v>
      </c>
      <c r="B98" s="4" t="s">
        <v>193</v>
      </c>
      <c r="C98" s="4" t="s">
        <v>196</v>
      </c>
      <c r="D98" s="7" t="b">
        <f aca="false">FALSE()</f>
        <v>0</v>
      </c>
      <c r="E98" s="4" t="s">
        <v>44</v>
      </c>
      <c r="F98" s="8" t="s">
        <v>35</v>
      </c>
      <c r="G98" s="4" t="s">
        <v>36</v>
      </c>
      <c r="H98" s="4"/>
      <c r="I98" s="4"/>
    </row>
    <row r="99" customFormat="false" ht="15" hidden="false" customHeight="false" outlineLevel="0" collapsed="false">
      <c r="A99" s="4" t="s">
        <v>184</v>
      </c>
      <c r="B99" s="4" t="s">
        <v>193</v>
      </c>
      <c r="C99" s="4" t="s">
        <v>197</v>
      </c>
      <c r="D99" s="7" t="b">
        <f aca="false">FALSE()</f>
        <v>0</v>
      </c>
      <c r="E99" s="4" t="s">
        <v>44</v>
      </c>
      <c r="F99" s="4" t="s">
        <v>29</v>
      </c>
      <c r="G99" s="4" t="s">
        <v>30</v>
      </c>
      <c r="H99" s="4"/>
      <c r="I99" s="4" t="s">
        <v>198</v>
      </c>
    </row>
    <row r="100" customFormat="false" ht="15" hidden="false" customHeight="false" outlineLevel="0" collapsed="false">
      <c r="A100" s="4" t="s">
        <v>184</v>
      </c>
      <c r="B100" s="4" t="s">
        <v>193</v>
      </c>
      <c r="C100" s="4" t="s">
        <v>199</v>
      </c>
      <c r="D100" s="7" t="b">
        <f aca="false">TRUE()</f>
        <v>1</v>
      </c>
      <c r="E100" s="4" t="s">
        <v>44</v>
      </c>
      <c r="F100" s="4" t="s">
        <v>29</v>
      </c>
      <c r="G100" s="4" t="s">
        <v>30</v>
      </c>
      <c r="H100" s="4"/>
      <c r="I100" s="4" t="s">
        <v>198</v>
      </c>
    </row>
    <row r="101" customFormat="false" ht="15" hidden="false" customHeight="false" outlineLevel="0" collapsed="false">
      <c r="A101" s="4" t="s">
        <v>184</v>
      </c>
      <c r="B101" s="4" t="s">
        <v>193</v>
      </c>
      <c r="C101" s="4" t="s">
        <v>200</v>
      </c>
      <c r="D101" s="7" t="b">
        <f aca="false">TRUE()</f>
        <v>1</v>
      </c>
      <c r="E101" s="4" t="s">
        <v>44</v>
      </c>
      <c r="F101" s="4" t="s">
        <v>29</v>
      </c>
      <c r="G101" s="4" t="s">
        <v>30</v>
      </c>
      <c r="H101" s="4"/>
      <c r="I101" s="4" t="s">
        <v>201</v>
      </c>
    </row>
    <row r="102" customFormat="false" ht="15" hidden="false" customHeight="false" outlineLevel="0" collapsed="false">
      <c r="A102" s="4" t="s">
        <v>184</v>
      </c>
      <c r="B102" s="4" t="s">
        <v>193</v>
      </c>
      <c r="C102" s="4" t="s">
        <v>202</v>
      </c>
      <c r="D102" s="7" t="b">
        <f aca="false">TRUE()</f>
        <v>1</v>
      </c>
      <c r="E102" s="4" t="s">
        <v>44</v>
      </c>
      <c r="F102" s="11" t="s">
        <v>53</v>
      </c>
      <c r="G102" s="4" t="s">
        <v>54</v>
      </c>
      <c r="H102" s="4"/>
      <c r="I102" s="4"/>
    </row>
    <row r="103" customFormat="false" ht="15" hidden="false" customHeight="false" outlineLevel="0" collapsed="false">
      <c r="A103" s="4" t="s">
        <v>184</v>
      </c>
      <c r="B103" s="4" t="s">
        <v>193</v>
      </c>
      <c r="C103" s="4" t="s">
        <v>203</v>
      </c>
      <c r="D103" s="7" t="b">
        <f aca="false">TRUE()</f>
        <v>1</v>
      </c>
      <c r="E103" s="4" t="s">
        <v>44</v>
      </c>
      <c r="F103" s="11" t="s">
        <v>53</v>
      </c>
      <c r="G103" s="4" t="s">
        <v>54</v>
      </c>
      <c r="H103" s="4"/>
      <c r="I103" s="4" t="s">
        <v>204</v>
      </c>
    </row>
    <row r="104" customFormat="false" ht="15" hidden="false" customHeight="false" outlineLevel="0" collapsed="false">
      <c r="A104" s="4" t="s">
        <v>184</v>
      </c>
      <c r="B104" s="4" t="s">
        <v>205</v>
      </c>
      <c r="C104" s="4" t="s">
        <v>206</v>
      </c>
      <c r="D104" s="7" t="b">
        <f aca="false">TRUE()</f>
        <v>1</v>
      </c>
      <c r="E104" s="4" t="s">
        <v>44</v>
      </c>
      <c r="F104" s="11" t="s">
        <v>53</v>
      </c>
      <c r="G104" s="4" t="s">
        <v>54</v>
      </c>
      <c r="H104" s="4"/>
      <c r="I104" s="4"/>
    </row>
    <row r="105" customFormat="false" ht="15" hidden="false" customHeight="false" outlineLevel="0" collapsed="false">
      <c r="A105" s="4" t="s">
        <v>184</v>
      </c>
      <c r="B105" s="4" t="s">
        <v>205</v>
      </c>
      <c r="C105" s="4" t="s">
        <v>207</v>
      </c>
      <c r="D105" s="7" t="b">
        <f aca="false">TRUE()</f>
        <v>1</v>
      </c>
      <c r="E105" s="4" t="s">
        <v>44</v>
      </c>
      <c r="F105" s="8" t="s">
        <v>35</v>
      </c>
      <c r="G105" s="4" t="s">
        <v>36</v>
      </c>
      <c r="H105" s="4"/>
      <c r="I105" s="4" t="s">
        <v>208</v>
      </c>
    </row>
    <row r="106" customFormat="false" ht="15" hidden="false" customHeight="false" outlineLevel="0" collapsed="false">
      <c r="A106" s="4" t="s">
        <v>184</v>
      </c>
      <c r="B106" s="4" t="s">
        <v>205</v>
      </c>
      <c r="C106" s="4" t="s">
        <v>209</v>
      </c>
      <c r="D106" s="7" t="b">
        <f aca="false">TRUE()</f>
        <v>1</v>
      </c>
      <c r="E106" s="4" t="s">
        <v>44</v>
      </c>
      <c r="F106" s="8" t="s">
        <v>35</v>
      </c>
      <c r="G106" s="4" t="s">
        <v>36</v>
      </c>
      <c r="H106" s="4"/>
      <c r="I106" s="4" t="s">
        <v>210</v>
      </c>
    </row>
    <row r="107" customFormat="false" ht="15" hidden="false" customHeight="false" outlineLevel="0" collapsed="false">
      <c r="A107" s="4" t="s">
        <v>184</v>
      </c>
      <c r="B107" s="4" t="s">
        <v>205</v>
      </c>
      <c r="C107" s="4" t="s">
        <v>211</v>
      </c>
      <c r="D107" s="7" t="b">
        <f aca="false">TRUE()</f>
        <v>1</v>
      </c>
      <c r="E107" s="4" t="s">
        <v>44</v>
      </c>
      <c r="F107" s="8" t="s">
        <v>35</v>
      </c>
      <c r="G107" s="4" t="s">
        <v>36</v>
      </c>
      <c r="H107" s="4"/>
      <c r="I107" s="4" t="s">
        <v>212</v>
      </c>
    </row>
    <row r="108" customFormat="false" ht="15" hidden="false" customHeight="false" outlineLevel="0" collapsed="false">
      <c r="A108" s="4" t="s">
        <v>184</v>
      </c>
      <c r="B108" s="4" t="s">
        <v>205</v>
      </c>
      <c r="C108" s="4" t="s">
        <v>213</v>
      </c>
      <c r="D108" s="7" t="b">
        <f aca="false">TRUE()</f>
        <v>1</v>
      </c>
      <c r="E108" s="4" t="s">
        <v>44</v>
      </c>
      <c r="F108" s="8" t="s">
        <v>35</v>
      </c>
      <c r="G108" s="4" t="s">
        <v>36</v>
      </c>
      <c r="H108" s="4"/>
      <c r="I108" s="4" t="s">
        <v>214</v>
      </c>
    </row>
    <row r="109" customFormat="false" ht="15" hidden="false" customHeight="false" outlineLevel="0" collapsed="false">
      <c r="A109" s="4" t="s">
        <v>184</v>
      </c>
      <c r="B109" s="4" t="s">
        <v>205</v>
      </c>
      <c r="C109" s="4" t="s">
        <v>215</v>
      </c>
      <c r="D109" s="7" t="b">
        <f aca="false">FALSE()</f>
        <v>0</v>
      </c>
      <c r="E109" s="4" t="s">
        <v>44</v>
      </c>
      <c r="F109" s="8" t="s">
        <v>35</v>
      </c>
      <c r="G109" s="4" t="s">
        <v>36</v>
      </c>
      <c r="H109" s="4"/>
      <c r="I109" s="4"/>
    </row>
    <row r="110" customFormat="false" ht="15" hidden="false" customHeight="false" outlineLevel="0" collapsed="false">
      <c r="A110" s="4" t="s">
        <v>184</v>
      </c>
      <c r="B110" s="4" t="s">
        <v>205</v>
      </c>
      <c r="C110" s="4" t="s">
        <v>216</v>
      </c>
      <c r="D110" s="7" t="b">
        <f aca="false">TRUE()</f>
        <v>1</v>
      </c>
      <c r="E110" s="4" t="s">
        <v>44</v>
      </c>
      <c r="F110" s="8" t="s">
        <v>35</v>
      </c>
      <c r="G110" s="4" t="s">
        <v>36</v>
      </c>
      <c r="H110" s="4"/>
      <c r="I110" s="4" t="s">
        <v>217</v>
      </c>
    </row>
    <row r="111" customFormat="false" ht="15" hidden="false" customHeight="false" outlineLevel="0" collapsed="false">
      <c r="A111" s="4" t="s">
        <v>184</v>
      </c>
      <c r="B111" s="4" t="s">
        <v>205</v>
      </c>
      <c r="C111" s="4" t="s">
        <v>218</v>
      </c>
      <c r="D111" s="7" t="b">
        <f aca="false">TRUE()</f>
        <v>1</v>
      </c>
      <c r="E111" s="4" t="s">
        <v>44</v>
      </c>
      <c r="F111" s="8" t="s">
        <v>35</v>
      </c>
      <c r="G111" s="4" t="s">
        <v>36</v>
      </c>
      <c r="H111" s="4"/>
      <c r="I111" s="4" t="s">
        <v>219</v>
      </c>
    </row>
    <row r="112" customFormat="false" ht="15" hidden="false" customHeight="false" outlineLevel="0" collapsed="false">
      <c r="A112" s="4" t="s">
        <v>184</v>
      </c>
      <c r="B112" s="4" t="s">
        <v>205</v>
      </c>
      <c r="C112" s="4" t="s">
        <v>220</v>
      </c>
      <c r="D112" s="7" t="b">
        <f aca="false">TRUE()</f>
        <v>1</v>
      </c>
      <c r="E112" s="4" t="s">
        <v>44</v>
      </c>
      <c r="F112" s="8" t="s">
        <v>35</v>
      </c>
      <c r="G112" s="4" t="s">
        <v>36</v>
      </c>
      <c r="H112" s="4"/>
      <c r="I112" s="4" t="s">
        <v>221</v>
      </c>
    </row>
    <row r="113" customFormat="false" ht="15" hidden="false" customHeight="false" outlineLevel="0" collapsed="false">
      <c r="A113" s="4" t="s">
        <v>184</v>
      </c>
      <c r="B113" s="4" t="s">
        <v>222</v>
      </c>
      <c r="C113" s="4" t="s">
        <v>223</v>
      </c>
      <c r="D113" s="7" t="b">
        <f aca="false">TRUE()</f>
        <v>1</v>
      </c>
      <c r="E113" s="4" t="s">
        <v>224</v>
      </c>
      <c r="F113" s="11" t="s">
        <v>53</v>
      </c>
      <c r="G113" s="4" t="s">
        <v>54</v>
      </c>
      <c r="H113" s="4"/>
      <c r="I113" s="4"/>
    </row>
    <row r="114" customFormat="false" ht="15" hidden="false" customHeight="false" outlineLevel="0" collapsed="false">
      <c r="A114" s="4" t="s">
        <v>184</v>
      </c>
      <c r="B114" s="4" t="s">
        <v>222</v>
      </c>
      <c r="C114" s="4" t="s">
        <v>225</v>
      </c>
      <c r="D114" s="7" t="b">
        <f aca="false">TRUE()</f>
        <v>1</v>
      </c>
      <c r="E114" s="4" t="s">
        <v>224</v>
      </c>
      <c r="F114" s="8" t="s">
        <v>35</v>
      </c>
      <c r="G114" s="4" t="s">
        <v>36</v>
      </c>
      <c r="H114" s="4"/>
      <c r="I114" s="4"/>
    </row>
    <row r="115" customFormat="false" ht="15" hidden="false" customHeight="false" outlineLevel="0" collapsed="false">
      <c r="A115" s="4" t="s">
        <v>184</v>
      </c>
      <c r="B115" s="4" t="s">
        <v>226</v>
      </c>
      <c r="C115" s="4" t="s">
        <v>227</v>
      </c>
      <c r="D115" s="7" t="b">
        <f aca="false">TRUE()</f>
        <v>1</v>
      </c>
      <c r="E115" s="4" t="s">
        <v>224</v>
      </c>
      <c r="F115" s="11" t="s">
        <v>53</v>
      </c>
      <c r="G115" s="4" t="s">
        <v>54</v>
      </c>
      <c r="H115" s="4"/>
      <c r="I115" s="4"/>
    </row>
    <row r="116" customFormat="false" ht="15" hidden="false" customHeight="false" outlineLevel="0" collapsed="false">
      <c r="A116" s="4" t="s">
        <v>184</v>
      </c>
      <c r="B116" s="4" t="s">
        <v>226</v>
      </c>
      <c r="C116" s="4" t="s">
        <v>228</v>
      </c>
      <c r="D116" s="7" t="b">
        <f aca="false">TRUE()</f>
        <v>1</v>
      </c>
      <c r="E116" s="4" t="s">
        <v>224</v>
      </c>
      <c r="F116" s="11" t="s">
        <v>53</v>
      </c>
      <c r="G116" s="4" t="s">
        <v>54</v>
      </c>
      <c r="H116" s="4"/>
      <c r="I116" s="4"/>
    </row>
    <row r="117" customFormat="false" ht="15" hidden="false" customHeight="false" outlineLevel="0" collapsed="false">
      <c r="A117" s="4" t="s">
        <v>184</v>
      </c>
      <c r="B117" s="4" t="s">
        <v>226</v>
      </c>
      <c r="C117" s="4" t="s">
        <v>229</v>
      </c>
      <c r="D117" s="7" t="b">
        <f aca="false">TRUE()</f>
        <v>1</v>
      </c>
      <c r="E117" s="4" t="s">
        <v>224</v>
      </c>
      <c r="F117" s="11" t="s">
        <v>53</v>
      </c>
      <c r="G117" s="4" t="s">
        <v>54</v>
      </c>
      <c r="H117" s="4"/>
      <c r="I117" s="4"/>
    </row>
    <row r="118" customFormat="false" ht="15" hidden="false" customHeight="false" outlineLevel="0" collapsed="false">
      <c r="A118" s="4" t="s">
        <v>184</v>
      </c>
      <c r="B118" s="4" t="s">
        <v>226</v>
      </c>
      <c r="C118" s="4" t="s">
        <v>230</v>
      </c>
      <c r="D118" s="7" t="b">
        <f aca="false">TRUE()</f>
        <v>1</v>
      </c>
      <c r="E118" s="4" t="s">
        <v>224</v>
      </c>
      <c r="F118" s="8" t="s">
        <v>35</v>
      </c>
      <c r="G118" s="4" t="s">
        <v>36</v>
      </c>
      <c r="H118" s="4"/>
      <c r="I118" s="4"/>
    </row>
    <row r="119" customFormat="false" ht="15" hidden="false" customHeight="false" outlineLevel="0" collapsed="false">
      <c r="A119" s="4" t="s">
        <v>184</v>
      </c>
      <c r="B119" s="4" t="s">
        <v>231</v>
      </c>
      <c r="C119" s="4" t="s">
        <v>232</v>
      </c>
      <c r="D119" s="7" t="b">
        <f aca="false">FALSE()</f>
        <v>0</v>
      </c>
      <c r="E119" s="4" t="s">
        <v>44</v>
      </c>
      <c r="F119" s="11" t="s">
        <v>53</v>
      </c>
      <c r="G119" s="4" t="s">
        <v>54</v>
      </c>
      <c r="H119" s="4"/>
      <c r="I119" s="4"/>
    </row>
    <row r="120" customFormat="false" ht="15" hidden="false" customHeight="false" outlineLevel="0" collapsed="false">
      <c r="A120" s="4" t="s">
        <v>184</v>
      </c>
      <c r="B120" s="4" t="s">
        <v>231</v>
      </c>
      <c r="C120" s="4" t="s">
        <v>206</v>
      </c>
      <c r="D120" s="7" t="b">
        <f aca="false">TRUE()</f>
        <v>1</v>
      </c>
      <c r="E120" s="4" t="s">
        <v>44</v>
      </c>
      <c r="F120" s="11" t="s">
        <v>53</v>
      </c>
      <c r="G120" s="4" t="s">
        <v>54</v>
      </c>
      <c r="H120" s="4"/>
      <c r="I120" s="4"/>
    </row>
    <row r="121" customFormat="false" ht="15" hidden="false" customHeight="false" outlineLevel="0" collapsed="false">
      <c r="A121" s="4" t="s">
        <v>184</v>
      </c>
      <c r="B121" s="4" t="s">
        <v>231</v>
      </c>
      <c r="C121" s="4" t="s">
        <v>207</v>
      </c>
      <c r="D121" s="7" t="b">
        <f aca="false">TRUE()</f>
        <v>1</v>
      </c>
      <c r="E121" s="4" t="s">
        <v>44</v>
      </c>
      <c r="F121" s="10" t="s">
        <v>48</v>
      </c>
      <c r="G121" s="4" t="s">
        <v>49</v>
      </c>
      <c r="H121" s="4" t="s">
        <v>233</v>
      </c>
      <c r="I121" s="4" t="s">
        <v>208</v>
      </c>
    </row>
    <row r="122" customFormat="false" ht="15" hidden="false" customHeight="false" outlineLevel="0" collapsed="false">
      <c r="A122" s="4" t="s">
        <v>184</v>
      </c>
      <c r="B122" s="4" t="s">
        <v>231</v>
      </c>
      <c r="C122" s="4" t="s">
        <v>209</v>
      </c>
      <c r="D122" s="7" t="b">
        <f aca="false">TRUE()</f>
        <v>1</v>
      </c>
      <c r="E122" s="4" t="s">
        <v>44</v>
      </c>
      <c r="F122" s="10" t="s">
        <v>48</v>
      </c>
      <c r="G122" s="4" t="s">
        <v>49</v>
      </c>
      <c r="H122" s="4" t="s">
        <v>234</v>
      </c>
      <c r="I122" s="4" t="s">
        <v>210</v>
      </c>
    </row>
    <row r="123" customFormat="false" ht="15" hidden="false" customHeight="false" outlineLevel="0" collapsed="false">
      <c r="A123" s="4" t="s">
        <v>184</v>
      </c>
      <c r="B123" s="4" t="s">
        <v>231</v>
      </c>
      <c r="C123" s="4" t="s">
        <v>211</v>
      </c>
      <c r="D123" s="7" t="b">
        <f aca="false">TRUE()</f>
        <v>1</v>
      </c>
      <c r="E123" s="4" t="s">
        <v>44</v>
      </c>
      <c r="F123" s="10" t="s">
        <v>48</v>
      </c>
      <c r="G123" s="4" t="s">
        <v>49</v>
      </c>
      <c r="H123" s="4" t="s">
        <v>235</v>
      </c>
      <c r="I123" s="4" t="s">
        <v>212</v>
      </c>
    </row>
    <row r="124" customFormat="false" ht="15" hidden="false" customHeight="false" outlineLevel="0" collapsed="false">
      <c r="A124" s="4" t="s">
        <v>184</v>
      </c>
      <c r="B124" s="4" t="s">
        <v>231</v>
      </c>
      <c r="C124" s="4" t="s">
        <v>213</v>
      </c>
      <c r="D124" s="7" t="b">
        <f aca="false">TRUE()</f>
        <v>1</v>
      </c>
      <c r="E124" s="4" t="s">
        <v>44</v>
      </c>
      <c r="F124" s="10" t="s">
        <v>48</v>
      </c>
      <c r="G124" s="4" t="s">
        <v>49</v>
      </c>
      <c r="H124" s="4" t="s">
        <v>236</v>
      </c>
      <c r="I124" s="4" t="s">
        <v>214</v>
      </c>
    </row>
    <row r="125" customFormat="false" ht="15" hidden="false" customHeight="false" outlineLevel="0" collapsed="false">
      <c r="A125" s="4" t="s">
        <v>184</v>
      </c>
      <c r="B125" s="4" t="s">
        <v>231</v>
      </c>
      <c r="C125" s="4" t="s">
        <v>215</v>
      </c>
      <c r="D125" s="7" t="b">
        <f aca="false">FALSE()</f>
        <v>0</v>
      </c>
      <c r="E125" s="4" t="s">
        <v>44</v>
      </c>
      <c r="F125" s="10" t="s">
        <v>48</v>
      </c>
      <c r="G125" s="4" t="s">
        <v>49</v>
      </c>
      <c r="H125" s="4" t="s">
        <v>235</v>
      </c>
      <c r="I125" s="4"/>
    </row>
    <row r="126" customFormat="false" ht="15" hidden="false" customHeight="false" outlineLevel="0" collapsed="false">
      <c r="A126" s="4" t="s">
        <v>184</v>
      </c>
      <c r="B126" s="4" t="s">
        <v>231</v>
      </c>
      <c r="C126" s="4" t="s">
        <v>216</v>
      </c>
      <c r="D126" s="7" t="b">
        <f aca="false">TRUE()</f>
        <v>1</v>
      </c>
      <c r="E126" s="4" t="s">
        <v>44</v>
      </c>
      <c r="F126" s="10" t="s">
        <v>48</v>
      </c>
      <c r="G126" s="4" t="s">
        <v>49</v>
      </c>
      <c r="H126" s="4" t="s">
        <v>237</v>
      </c>
      <c r="I126" s="4" t="s">
        <v>217</v>
      </c>
    </row>
    <row r="127" customFormat="false" ht="15" hidden="false" customHeight="false" outlineLevel="0" collapsed="false">
      <c r="A127" s="4" t="s">
        <v>184</v>
      </c>
      <c r="B127" s="4" t="s">
        <v>231</v>
      </c>
      <c r="C127" s="4" t="s">
        <v>218</v>
      </c>
      <c r="D127" s="7" t="b">
        <f aca="false">TRUE()</f>
        <v>1</v>
      </c>
      <c r="E127" s="4" t="s">
        <v>44</v>
      </c>
      <c r="F127" s="10" t="s">
        <v>48</v>
      </c>
      <c r="G127" s="4" t="s">
        <v>49</v>
      </c>
      <c r="H127" s="4" t="s">
        <v>238</v>
      </c>
      <c r="I127" s="4" t="s">
        <v>219</v>
      </c>
    </row>
    <row r="128" customFormat="false" ht="15" hidden="false" customHeight="false" outlineLevel="0" collapsed="false">
      <c r="A128" s="4" t="s">
        <v>184</v>
      </c>
      <c r="B128" s="4" t="s">
        <v>231</v>
      </c>
      <c r="C128" s="4" t="s">
        <v>220</v>
      </c>
      <c r="D128" s="7" t="b">
        <f aca="false">TRUE()</f>
        <v>1</v>
      </c>
      <c r="E128" s="4" t="s">
        <v>44</v>
      </c>
      <c r="F128" s="10" t="s">
        <v>48</v>
      </c>
      <c r="G128" s="4" t="s">
        <v>49</v>
      </c>
      <c r="H128" s="4" t="s">
        <v>238</v>
      </c>
      <c r="I128" s="4" t="s">
        <v>221</v>
      </c>
    </row>
    <row r="129" customFormat="false" ht="15" hidden="false" customHeight="false" outlineLevel="0" collapsed="false">
      <c r="A129" s="4" t="s">
        <v>184</v>
      </c>
      <c r="B129" s="4" t="s">
        <v>239</v>
      </c>
      <c r="C129" s="4" t="s">
        <v>223</v>
      </c>
      <c r="D129" s="7" t="b">
        <f aca="false">TRUE()</f>
        <v>1</v>
      </c>
      <c r="E129" s="4" t="s">
        <v>224</v>
      </c>
      <c r="F129" s="11" t="s">
        <v>53</v>
      </c>
      <c r="G129" s="4" t="s">
        <v>54</v>
      </c>
      <c r="H129" s="4"/>
      <c r="I129" s="4"/>
    </row>
    <row r="130" customFormat="false" ht="15" hidden="false" customHeight="false" outlineLevel="0" collapsed="false">
      <c r="A130" s="4" t="s">
        <v>184</v>
      </c>
      <c r="B130" s="4" t="s">
        <v>239</v>
      </c>
      <c r="C130" s="4" t="s">
        <v>225</v>
      </c>
      <c r="D130" s="7" t="b">
        <f aca="false">TRUE()</f>
        <v>1</v>
      </c>
      <c r="E130" s="4" t="s">
        <v>224</v>
      </c>
      <c r="F130" s="10" t="s">
        <v>48</v>
      </c>
      <c r="G130" s="4" t="s">
        <v>49</v>
      </c>
      <c r="H130" s="4" t="s">
        <v>235</v>
      </c>
      <c r="I130" s="4"/>
    </row>
    <row r="131" customFormat="false" ht="15" hidden="false" customHeight="false" outlineLevel="0" collapsed="false">
      <c r="A131" s="4" t="s">
        <v>184</v>
      </c>
      <c r="B131" s="4" t="s">
        <v>240</v>
      </c>
      <c r="C131" s="4" t="s">
        <v>227</v>
      </c>
      <c r="D131" s="7" t="b">
        <f aca="false">TRUE()</f>
        <v>1</v>
      </c>
      <c r="E131" s="4" t="s">
        <v>224</v>
      </c>
      <c r="F131" s="11" t="s">
        <v>53</v>
      </c>
      <c r="G131" s="4" t="s">
        <v>54</v>
      </c>
      <c r="H131" s="4"/>
      <c r="I131" s="4"/>
    </row>
    <row r="132" customFormat="false" ht="15" hidden="false" customHeight="false" outlineLevel="0" collapsed="false">
      <c r="A132" s="4" t="s">
        <v>184</v>
      </c>
      <c r="B132" s="4" t="s">
        <v>240</v>
      </c>
      <c r="C132" s="4" t="s">
        <v>228</v>
      </c>
      <c r="D132" s="7" t="b">
        <f aca="false">TRUE()</f>
        <v>1</v>
      </c>
      <c r="E132" s="4" t="s">
        <v>224</v>
      </c>
      <c r="F132" s="11" t="s">
        <v>53</v>
      </c>
      <c r="G132" s="4" t="s">
        <v>54</v>
      </c>
      <c r="H132" s="4"/>
      <c r="I132" s="4"/>
    </row>
    <row r="133" customFormat="false" ht="15" hidden="false" customHeight="false" outlineLevel="0" collapsed="false">
      <c r="A133" s="4" t="s">
        <v>184</v>
      </c>
      <c r="B133" s="4" t="s">
        <v>240</v>
      </c>
      <c r="C133" s="4" t="s">
        <v>229</v>
      </c>
      <c r="D133" s="7" t="b">
        <f aca="false">TRUE()</f>
        <v>1</v>
      </c>
      <c r="E133" s="4" t="s">
        <v>224</v>
      </c>
      <c r="F133" s="11" t="s">
        <v>53</v>
      </c>
      <c r="G133" s="4" t="s">
        <v>54</v>
      </c>
      <c r="H133" s="4"/>
      <c r="I133" s="4"/>
    </row>
    <row r="134" customFormat="false" ht="15" hidden="false" customHeight="false" outlineLevel="0" collapsed="false">
      <c r="A134" s="4" t="s">
        <v>184</v>
      </c>
      <c r="B134" s="4" t="s">
        <v>240</v>
      </c>
      <c r="C134" s="4" t="s">
        <v>230</v>
      </c>
      <c r="D134" s="7" t="b">
        <f aca="false">TRUE()</f>
        <v>1</v>
      </c>
      <c r="E134" s="4" t="s">
        <v>224</v>
      </c>
      <c r="F134" s="10" t="s">
        <v>48</v>
      </c>
      <c r="G134" s="4" t="s">
        <v>49</v>
      </c>
      <c r="H134" s="4" t="s">
        <v>241</v>
      </c>
      <c r="I134" s="4"/>
    </row>
    <row r="135" customFormat="false" ht="15" hidden="false" customHeight="false" outlineLevel="0" collapsed="false">
      <c r="A135" s="4" t="s">
        <v>184</v>
      </c>
      <c r="B135" s="4" t="s">
        <v>242</v>
      </c>
      <c r="C135" s="4" t="s">
        <v>243</v>
      </c>
      <c r="D135" s="7" t="b">
        <f aca="false">TRUE()</f>
        <v>1</v>
      </c>
      <c r="E135" s="4" t="s">
        <v>44</v>
      </c>
      <c r="F135" s="11" t="s">
        <v>53</v>
      </c>
      <c r="G135" s="4" t="s">
        <v>54</v>
      </c>
      <c r="H135" s="4"/>
      <c r="I135" s="4"/>
    </row>
    <row r="136" customFormat="false" ht="15" hidden="false" customHeight="false" outlineLevel="0" collapsed="false">
      <c r="A136" s="4" t="s">
        <v>184</v>
      </c>
      <c r="B136" s="4" t="s">
        <v>242</v>
      </c>
      <c r="C136" s="4" t="s">
        <v>244</v>
      </c>
      <c r="D136" s="7" t="b">
        <f aca="false">TRUE()</f>
        <v>1</v>
      </c>
      <c r="E136" s="4" t="s">
        <v>44</v>
      </c>
      <c r="F136" s="11" t="s">
        <v>53</v>
      </c>
      <c r="G136" s="4" t="s">
        <v>54</v>
      </c>
      <c r="H136" s="4"/>
      <c r="I136" s="4"/>
    </row>
    <row r="137" customFormat="false" ht="15" hidden="false" customHeight="false" outlineLevel="0" collapsed="false">
      <c r="A137" s="4" t="s">
        <v>184</v>
      </c>
      <c r="B137" s="4" t="s">
        <v>242</v>
      </c>
      <c r="C137" s="4" t="s">
        <v>245</v>
      </c>
      <c r="D137" s="7" t="b">
        <f aca="false">FALSE()</f>
        <v>0</v>
      </c>
      <c r="E137" s="4" t="s">
        <v>44</v>
      </c>
      <c r="F137" s="11" t="s">
        <v>53</v>
      </c>
      <c r="G137" s="4" t="s">
        <v>54</v>
      </c>
      <c r="H137" s="4"/>
      <c r="I137" s="4"/>
    </row>
    <row r="138" customFormat="false" ht="15" hidden="false" customHeight="false" outlineLevel="0" collapsed="false">
      <c r="A138" s="4" t="s">
        <v>184</v>
      </c>
      <c r="B138" s="4" t="s">
        <v>242</v>
      </c>
      <c r="C138" s="4" t="s">
        <v>246</v>
      </c>
      <c r="D138" s="7" t="b">
        <f aca="false">TRUE()</f>
        <v>1</v>
      </c>
      <c r="E138" s="4" t="s">
        <v>44</v>
      </c>
      <c r="F138" s="11" t="s">
        <v>53</v>
      </c>
      <c r="G138" s="4" t="s">
        <v>54</v>
      </c>
      <c r="H138" s="4"/>
      <c r="I138" s="4"/>
    </row>
    <row r="139" customFormat="false" ht="15" hidden="false" customHeight="false" outlineLevel="0" collapsed="false">
      <c r="A139" s="4" t="s">
        <v>184</v>
      </c>
      <c r="B139" s="4" t="s">
        <v>242</v>
      </c>
      <c r="C139" s="4" t="s">
        <v>247</v>
      </c>
      <c r="D139" s="7" t="b">
        <f aca="false">TRUE()</f>
        <v>1</v>
      </c>
      <c r="E139" s="4" t="s">
        <v>44</v>
      </c>
      <c r="F139" s="8" t="s">
        <v>35</v>
      </c>
      <c r="G139" s="4" t="s">
        <v>36</v>
      </c>
      <c r="H139" s="4"/>
      <c r="I139" s="4"/>
    </row>
    <row r="140" customFormat="false" ht="15" hidden="false" customHeight="false" outlineLevel="0" collapsed="false">
      <c r="A140" s="4" t="s">
        <v>184</v>
      </c>
      <c r="B140" s="4" t="s">
        <v>242</v>
      </c>
      <c r="C140" s="4" t="s">
        <v>248</v>
      </c>
      <c r="D140" s="7" t="b">
        <f aca="false">FALSE()</f>
        <v>0</v>
      </c>
      <c r="E140" s="4" t="s">
        <v>44</v>
      </c>
      <c r="F140" s="8" t="s">
        <v>35</v>
      </c>
      <c r="G140" s="4" t="s">
        <v>36</v>
      </c>
      <c r="H140" s="4"/>
      <c r="I140" s="4"/>
    </row>
    <row r="141" customFormat="false" ht="15" hidden="false" customHeight="false" outlineLevel="0" collapsed="false">
      <c r="A141" s="4" t="s">
        <v>184</v>
      </c>
      <c r="B141" s="4" t="s">
        <v>249</v>
      </c>
      <c r="C141" s="4" t="s">
        <v>227</v>
      </c>
      <c r="D141" s="7" t="b">
        <f aca="false">TRUE()</f>
        <v>1</v>
      </c>
      <c r="E141" s="4" t="s">
        <v>44</v>
      </c>
      <c r="F141" s="11" t="s">
        <v>53</v>
      </c>
      <c r="G141" s="4" t="s">
        <v>54</v>
      </c>
      <c r="H141" s="4"/>
      <c r="I141" s="4"/>
    </row>
    <row r="142" customFormat="false" ht="15" hidden="false" customHeight="false" outlineLevel="0" collapsed="false">
      <c r="A142" s="4" t="s">
        <v>184</v>
      </c>
      <c r="B142" s="4" t="s">
        <v>249</v>
      </c>
      <c r="C142" s="4" t="s">
        <v>228</v>
      </c>
      <c r="D142" s="7" t="b">
        <f aca="false">TRUE()</f>
        <v>1</v>
      </c>
      <c r="E142" s="4" t="s">
        <v>44</v>
      </c>
      <c r="F142" s="11" t="s">
        <v>53</v>
      </c>
      <c r="G142" s="4" t="s">
        <v>54</v>
      </c>
      <c r="H142" s="4"/>
      <c r="I142" s="4"/>
    </row>
    <row r="143" customFormat="false" ht="15" hidden="false" customHeight="false" outlineLevel="0" collapsed="false">
      <c r="A143" s="4" t="s">
        <v>184</v>
      </c>
      <c r="B143" s="4" t="s">
        <v>249</v>
      </c>
      <c r="C143" s="4" t="s">
        <v>229</v>
      </c>
      <c r="D143" s="7" t="b">
        <f aca="false">TRUE()</f>
        <v>1</v>
      </c>
      <c r="E143" s="4" t="s">
        <v>44</v>
      </c>
      <c r="F143" s="11" t="s">
        <v>53</v>
      </c>
      <c r="G143" s="4" t="s">
        <v>54</v>
      </c>
      <c r="H143" s="4"/>
      <c r="I143" s="4"/>
    </row>
    <row r="144" customFormat="false" ht="15" hidden="false" customHeight="false" outlineLevel="0" collapsed="false">
      <c r="A144" s="4" t="s">
        <v>184</v>
      </c>
      <c r="B144" s="4" t="s">
        <v>249</v>
      </c>
      <c r="C144" s="4" t="s">
        <v>250</v>
      </c>
      <c r="D144" s="7" t="b">
        <f aca="false">TRUE()</f>
        <v>1</v>
      </c>
      <c r="E144" s="4" t="s">
        <v>44</v>
      </c>
      <c r="F144" s="10" t="s">
        <v>48</v>
      </c>
      <c r="G144" s="4" t="s">
        <v>49</v>
      </c>
      <c r="H144" s="4" t="s">
        <v>241</v>
      </c>
      <c r="I144" s="4"/>
    </row>
    <row r="145" customFormat="false" ht="15" hidden="false" customHeight="false" outlineLevel="0" collapsed="false">
      <c r="A145" s="4" t="s">
        <v>251</v>
      </c>
      <c r="B145" s="4" t="s">
        <v>251</v>
      </c>
      <c r="C145" s="4" t="s">
        <v>252</v>
      </c>
      <c r="D145" s="7" t="b">
        <f aca="false">TRUE()</f>
        <v>1</v>
      </c>
      <c r="E145" s="4" t="s">
        <v>28</v>
      </c>
      <c r="F145" s="11" t="s">
        <v>53</v>
      </c>
      <c r="G145" s="4" t="s">
        <v>54</v>
      </c>
      <c r="H145" s="4"/>
      <c r="I145" s="4"/>
    </row>
    <row r="146" customFormat="false" ht="15" hidden="false" customHeight="false" outlineLevel="0" collapsed="false">
      <c r="A146" s="4" t="s">
        <v>251</v>
      </c>
      <c r="B146" s="4" t="s">
        <v>251</v>
      </c>
      <c r="C146" s="4" t="s">
        <v>253</v>
      </c>
      <c r="D146" s="7" t="b">
        <f aca="false">TRUE()</f>
        <v>1</v>
      </c>
      <c r="E146" s="4" t="s">
        <v>28</v>
      </c>
      <c r="F146" s="11" t="s">
        <v>53</v>
      </c>
      <c r="G146" s="4" t="s">
        <v>54</v>
      </c>
      <c r="H146" s="4"/>
      <c r="I146" s="4" t="s">
        <v>254</v>
      </c>
    </row>
    <row r="147" customFormat="false" ht="15" hidden="false" customHeight="false" outlineLevel="0" collapsed="false">
      <c r="A147" s="4" t="s">
        <v>251</v>
      </c>
      <c r="B147" s="4" t="s">
        <v>251</v>
      </c>
      <c r="C147" s="4" t="s">
        <v>255</v>
      </c>
      <c r="D147" s="7" t="b">
        <f aca="false">TRUE()</f>
        <v>1</v>
      </c>
      <c r="E147" s="4" t="s">
        <v>28</v>
      </c>
      <c r="F147" s="11" t="s">
        <v>53</v>
      </c>
      <c r="G147" s="4" t="s">
        <v>54</v>
      </c>
      <c r="H147" s="4"/>
      <c r="I147" s="4"/>
    </row>
    <row r="148" customFormat="false" ht="15" hidden="false" customHeight="false" outlineLevel="0" collapsed="false">
      <c r="A148" s="4" t="s">
        <v>251</v>
      </c>
      <c r="B148" s="4" t="s">
        <v>251</v>
      </c>
      <c r="C148" s="4" t="s">
        <v>256</v>
      </c>
      <c r="D148" s="7" t="b">
        <f aca="false">TRUE()</f>
        <v>1</v>
      </c>
      <c r="E148" s="4" t="s">
        <v>28</v>
      </c>
      <c r="F148" s="11" t="s">
        <v>53</v>
      </c>
      <c r="G148" s="4" t="s">
        <v>54</v>
      </c>
      <c r="H148" s="4"/>
      <c r="I148" s="4"/>
    </row>
    <row r="149" customFormat="false" ht="15" hidden="false" customHeight="false" outlineLevel="0" collapsed="false">
      <c r="A149" s="4" t="s">
        <v>251</v>
      </c>
      <c r="B149" s="4" t="s">
        <v>251</v>
      </c>
      <c r="C149" s="4" t="s">
        <v>257</v>
      </c>
      <c r="D149" s="7" t="b">
        <f aca="false">TRUE()</f>
        <v>1</v>
      </c>
      <c r="E149" s="4" t="s">
        <v>28</v>
      </c>
      <c r="F149" s="11" t="s">
        <v>53</v>
      </c>
      <c r="G149" s="4" t="s">
        <v>54</v>
      </c>
      <c r="H149" s="4"/>
      <c r="I149" s="4"/>
    </row>
    <row r="150" customFormat="false" ht="15" hidden="false" customHeight="false" outlineLevel="0" collapsed="false">
      <c r="A150" s="4" t="s">
        <v>251</v>
      </c>
      <c r="B150" s="4" t="s">
        <v>251</v>
      </c>
      <c r="C150" s="4" t="s">
        <v>258</v>
      </c>
      <c r="D150" s="7" t="b">
        <f aca="false">TRUE()</f>
        <v>1</v>
      </c>
      <c r="E150" s="4" t="s">
        <v>28</v>
      </c>
      <c r="F150" s="11" t="s">
        <v>53</v>
      </c>
      <c r="G150" s="4" t="s">
        <v>54</v>
      </c>
      <c r="H150" s="4"/>
      <c r="I150" s="4" t="s">
        <v>259</v>
      </c>
    </row>
    <row r="151" customFormat="false" ht="15" hidden="false" customHeight="false" outlineLevel="0" collapsed="false">
      <c r="A151" s="4" t="s">
        <v>251</v>
      </c>
      <c r="B151" s="4" t="s">
        <v>251</v>
      </c>
      <c r="C151" s="4" t="s">
        <v>260</v>
      </c>
      <c r="D151" s="7" t="b">
        <f aca="false">TRUE()</f>
        <v>1</v>
      </c>
      <c r="E151" s="4" t="s">
        <v>28</v>
      </c>
      <c r="F151" s="11" t="s">
        <v>53</v>
      </c>
      <c r="G151" s="4" t="s">
        <v>54</v>
      </c>
      <c r="H151" s="4"/>
      <c r="I151" s="4" t="s">
        <v>261</v>
      </c>
    </row>
    <row r="152" customFormat="false" ht="15" hidden="false" customHeight="false" outlineLevel="0" collapsed="false">
      <c r="A152" s="4" t="s">
        <v>251</v>
      </c>
      <c r="B152" s="4" t="s">
        <v>251</v>
      </c>
      <c r="C152" s="4" t="s">
        <v>262</v>
      </c>
      <c r="D152" s="7" t="b">
        <f aca="false">TRUE()</f>
        <v>1</v>
      </c>
      <c r="E152" s="4" t="s">
        <v>28</v>
      </c>
      <c r="F152" s="11" t="s">
        <v>53</v>
      </c>
      <c r="G152" s="4" t="s">
        <v>54</v>
      </c>
      <c r="H152" s="4"/>
      <c r="I152" s="4" t="s">
        <v>263</v>
      </c>
    </row>
    <row r="153" customFormat="false" ht="15" hidden="false" customHeight="false" outlineLevel="0" collapsed="false">
      <c r="A153" s="4" t="s">
        <v>251</v>
      </c>
      <c r="B153" s="4" t="s">
        <v>251</v>
      </c>
      <c r="C153" s="4" t="s">
        <v>264</v>
      </c>
      <c r="D153" s="7" t="b">
        <f aca="false">TRUE()</f>
        <v>1</v>
      </c>
      <c r="E153" s="4" t="s">
        <v>28</v>
      </c>
      <c r="F153" s="11" t="s">
        <v>53</v>
      </c>
      <c r="G153" s="4" t="s">
        <v>54</v>
      </c>
      <c r="H153" s="4"/>
      <c r="I153" s="4"/>
    </row>
    <row r="154" customFormat="false" ht="15" hidden="false" customHeight="false" outlineLevel="0" collapsed="false">
      <c r="A154" s="4" t="s">
        <v>251</v>
      </c>
      <c r="B154" s="4" t="s">
        <v>251</v>
      </c>
      <c r="C154" s="4" t="s">
        <v>265</v>
      </c>
      <c r="D154" s="7" t="b">
        <f aca="false">TRUE()</f>
        <v>1</v>
      </c>
      <c r="E154" s="4" t="s">
        <v>28</v>
      </c>
      <c r="F154" s="11" t="s">
        <v>53</v>
      </c>
      <c r="G154" s="4" t="s">
        <v>54</v>
      </c>
      <c r="H154" s="4"/>
      <c r="I154" s="4" t="s">
        <v>266</v>
      </c>
    </row>
    <row r="155" customFormat="false" ht="15" hidden="false" customHeight="false" outlineLevel="0" collapsed="false">
      <c r="A155" s="4" t="s">
        <v>251</v>
      </c>
      <c r="B155" s="4" t="s">
        <v>251</v>
      </c>
      <c r="C155" s="4" t="s">
        <v>267</v>
      </c>
      <c r="D155" s="7" t="b">
        <f aca="false">TRUE()</f>
        <v>1</v>
      </c>
      <c r="E155" s="4" t="s">
        <v>28</v>
      </c>
      <c r="F155" s="11" t="s">
        <v>53</v>
      </c>
      <c r="G155" s="4" t="s">
        <v>54</v>
      </c>
      <c r="H155" s="4"/>
      <c r="I155" s="4"/>
    </row>
    <row r="156" customFormat="false" ht="15" hidden="false" customHeight="false" outlineLevel="0" collapsed="false">
      <c r="A156" s="4" t="s">
        <v>251</v>
      </c>
      <c r="B156" s="4" t="s">
        <v>251</v>
      </c>
      <c r="C156" s="4" t="s">
        <v>268</v>
      </c>
      <c r="D156" s="7" t="b">
        <f aca="false">FALSE()</f>
        <v>0</v>
      </c>
      <c r="E156" s="4" t="s">
        <v>28</v>
      </c>
      <c r="F156" s="11" t="s">
        <v>53</v>
      </c>
      <c r="G156" s="4" t="s">
        <v>54</v>
      </c>
      <c r="H156" s="4"/>
      <c r="I156" s="4"/>
    </row>
    <row r="157" customFormat="false" ht="15" hidden="false" customHeight="false" outlineLevel="0" collapsed="false">
      <c r="A157" s="4" t="s">
        <v>251</v>
      </c>
      <c r="B157" s="4" t="s">
        <v>251</v>
      </c>
      <c r="C157" s="4" t="s">
        <v>269</v>
      </c>
      <c r="D157" s="7" t="b">
        <f aca="false">TRUE()</f>
        <v>1</v>
      </c>
      <c r="E157" s="4" t="s">
        <v>28</v>
      </c>
      <c r="F157" s="13" t="s">
        <v>270</v>
      </c>
      <c r="G157" s="4" t="s">
        <v>271</v>
      </c>
      <c r="H157" s="4" t="s">
        <v>272</v>
      </c>
      <c r="I157" s="4" t="s">
        <v>273</v>
      </c>
    </row>
    <row r="158" customFormat="false" ht="15" hidden="false" customHeight="false" outlineLevel="0" collapsed="false">
      <c r="A158" s="4" t="s">
        <v>274</v>
      </c>
      <c r="B158" s="4" t="s">
        <v>274</v>
      </c>
      <c r="C158" s="4" t="s">
        <v>275</v>
      </c>
      <c r="D158" s="7" t="b">
        <f aca="false">FALSE()</f>
        <v>0</v>
      </c>
      <c r="E158" s="4" t="s">
        <v>28</v>
      </c>
      <c r="F158" s="11" t="s">
        <v>53</v>
      </c>
      <c r="G158" s="4" t="s">
        <v>54</v>
      </c>
      <c r="H158" s="4"/>
      <c r="I158" s="4"/>
    </row>
    <row r="159" customFormat="false" ht="15" hidden="false" customHeight="false" outlineLevel="0" collapsed="false">
      <c r="A159" s="4" t="s">
        <v>274</v>
      </c>
      <c r="B159" s="4" t="s">
        <v>274</v>
      </c>
      <c r="C159" s="4" t="s">
        <v>276</v>
      </c>
      <c r="D159" s="7" t="b">
        <f aca="false">TRUE()</f>
        <v>1</v>
      </c>
      <c r="E159" s="4" t="s">
        <v>28</v>
      </c>
      <c r="F159" s="8" t="s">
        <v>35</v>
      </c>
      <c r="G159" s="4" t="s">
        <v>36</v>
      </c>
      <c r="H159" s="4"/>
      <c r="I159" s="4"/>
    </row>
    <row r="160" customFormat="false" ht="15" hidden="false" customHeight="false" outlineLevel="0" collapsed="false">
      <c r="A160" s="4" t="s">
        <v>274</v>
      </c>
      <c r="B160" s="4" t="s">
        <v>274</v>
      </c>
      <c r="C160" s="4" t="s">
        <v>277</v>
      </c>
      <c r="D160" s="7" t="b">
        <f aca="false">FALSE()</f>
        <v>0</v>
      </c>
      <c r="E160" s="4" t="s">
        <v>28</v>
      </c>
      <c r="F160" s="10" t="s">
        <v>48</v>
      </c>
      <c r="G160" s="4" t="s">
        <v>49</v>
      </c>
      <c r="H160" s="4" t="s">
        <v>278</v>
      </c>
      <c r="I160" s="4"/>
    </row>
    <row r="161" customFormat="false" ht="15" hidden="false" customHeight="false" outlineLevel="0" collapsed="false">
      <c r="A161" s="4" t="s">
        <v>274</v>
      </c>
      <c r="B161" s="4" t="s">
        <v>274</v>
      </c>
      <c r="C161" s="4" t="s">
        <v>279</v>
      </c>
      <c r="D161" s="7" t="b">
        <f aca="false">FALSE()</f>
        <v>0</v>
      </c>
      <c r="E161" s="4" t="s">
        <v>28</v>
      </c>
      <c r="F161" s="10" t="s">
        <v>48</v>
      </c>
      <c r="G161" s="4" t="s">
        <v>49</v>
      </c>
      <c r="H161" s="4" t="s">
        <v>280</v>
      </c>
      <c r="I161" s="4"/>
    </row>
    <row r="162" customFormat="false" ht="15" hidden="false" customHeight="false" outlineLevel="0" collapsed="false">
      <c r="A162" s="4" t="s">
        <v>274</v>
      </c>
      <c r="B162" s="4" t="s">
        <v>274</v>
      </c>
      <c r="C162" s="4" t="s">
        <v>281</v>
      </c>
      <c r="D162" s="7" t="b">
        <f aca="false">FALSE()</f>
        <v>0</v>
      </c>
      <c r="E162" s="4" t="s">
        <v>28</v>
      </c>
      <c r="F162" s="10" t="s">
        <v>48</v>
      </c>
      <c r="G162" s="4" t="s">
        <v>49</v>
      </c>
      <c r="H162" s="4" t="s">
        <v>282</v>
      </c>
      <c r="I162" s="4"/>
    </row>
    <row r="163" customFormat="false" ht="15" hidden="false" customHeight="false" outlineLevel="0" collapsed="false">
      <c r="A163" s="4" t="s">
        <v>283</v>
      </c>
      <c r="B163" s="4" t="s">
        <v>283</v>
      </c>
      <c r="C163" s="4" t="s">
        <v>284</v>
      </c>
      <c r="D163" s="7" t="b">
        <f aca="false">FALSE()</f>
        <v>0</v>
      </c>
      <c r="E163" s="4" t="s">
        <v>28</v>
      </c>
      <c r="F163" s="8" t="s">
        <v>35</v>
      </c>
      <c r="G163" s="4" t="s">
        <v>36</v>
      </c>
      <c r="H163" s="4"/>
      <c r="I163" s="4" t="s">
        <v>285</v>
      </c>
    </row>
    <row r="164" customFormat="false" ht="15" hidden="false" customHeight="false" outlineLevel="0" collapsed="false">
      <c r="A164" s="4" t="s">
        <v>283</v>
      </c>
      <c r="B164" s="4" t="s">
        <v>283</v>
      </c>
      <c r="C164" s="4" t="s">
        <v>286</v>
      </c>
      <c r="D164" s="7" t="b">
        <f aca="false">TRUE()</f>
        <v>1</v>
      </c>
      <c r="E164" s="4" t="s">
        <v>28</v>
      </c>
      <c r="F164" s="8" t="s">
        <v>35</v>
      </c>
      <c r="G164" s="4" t="s">
        <v>36</v>
      </c>
      <c r="H164" s="4"/>
      <c r="I164" s="4" t="s">
        <v>287</v>
      </c>
    </row>
    <row r="165" customFormat="false" ht="15" hidden="false" customHeight="false" outlineLevel="0" collapsed="false">
      <c r="A165" s="4" t="s">
        <v>283</v>
      </c>
      <c r="B165" s="4" t="s">
        <v>283</v>
      </c>
      <c r="C165" s="4" t="s">
        <v>288</v>
      </c>
      <c r="D165" s="7" t="b">
        <f aca="false">TRUE()</f>
        <v>1</v>
      </c>
      <c r="E165" s="4" t="s">
        <v>28</v>
      </c>
      <c r="F165" s="10" t="s">
        <v>48</v>
      </c>
      <c r="G165" s="4" t="s">
        <v>49</v>
      </c>
      <c r="H165" s="4" t="s">
        <v>289</v>
      </c>
      <c r="I165" s="4" t="s">
        <v>290</v>
      </c>
    </row>
    <row r="166" customFormat="false" ht="15" hidden="false" customHeight="false" outlineLevel="0" collapsed="false">
      <c r="A166" s="4" t="s">
        <v>283</v>
      </c>
      <c r="B166" s="4" t="s">
        <v>283</v>
      </c>
      <c r="C166" s="4" t="s">
        <v>291</v>
      </c>
      <c r="D166" s="7" t="b">
        <f aca="false">TRUE()</f>
        <v>1</v>
      </c>
      <c r="E166" s="4" t="s">
        <v>28</v>
      </c>
      <c r="F166" s="11" t="s">
        <v>53</v>
      </c>
      <c r="G166" s="4" t="s">
        <v>54</v>
      </c>
      <c r="H166" s="4"/>
      <c r="I166" s="4"/>
    </row>
    <row r="167" customFormat="false" ht="15" hidden="false" customHeight="false" outlineLevel="0" collapsed="false">
      <c r="A167" s="4" t="s">
        <v>283</v>
      </c>
      <c r="B167" s="4" t="s">
        <v>283</v>
      </c>
      <c r="C167" s="4" t="s">
        <v>292</v>
      </c>
      <c r="D167" s="7" t="b">
        <f aca="false">FALSE()</f>
        <v>0</v>
      </c>
      <c r="E167" s="4" t="s">
        <v>28</v>
      </c>
      <c r="F167" s="11" t="s">
        <v>53</v>
      </c>
      <c r="G167" s="4" t="s">
        <v>54</v>
      </c>
      <c r="H167" s="4"/>
      <c r="I167" s="4"/>
    </row>
    <row r="168" customFormat="false" ht="15" hidden="false" customHeight="false" outlineLevel="0" collapsed="false">
      <c r="A168" s="4" t="s">
        <v>283</v>
      </c>
      <c r="B168" s="4" t="s">
        <v>283</v>
      </c>
      <c r="C168" s="4" t="s">
        <v>293</v>
      </c>
      <c r="D168" s="7" t="b">
        <f aca="false">TRUE()</f>
        <v>1</v>
      </c>
      <c r="E168" s="4" t="s">
        <v>28</v>
      </c>
      <c r="F168" s="11" t="s">
        <v>53</v>
      </c>
      <c r="G168" s="4" t="s">
        <v>54</v>
      </c>
      <c r="H168" s="4"/>
      <c r="I168" s="4" t="s">
        <v>294</v>
      </c>
    </row>
    <row r="169" customFormat="false" ht="15" hidden="false" customHeight="false" outlineLevel="0" collapsed="false">
      <c r="A169" s="4" t="s">
        <v>283</v>
      </c>
      <c r="B169" s="4" t="s">
        <v>283</v>
      </c>
      <c r="C169" s="4" t="s">
        <v>295</v>
      </c>
      <c r="D169" s="7" t="b">
        <f aca="false">TRUE()</f>
        <v>1</v>
      </c>
      <c r="E169" s="4" t="s">
        <v>28</v>
      </c>
      <c r="F169" s="11" t="s">
        <v>53</v>
      </c>
      <c r="G169" s="4" t="s">
        <v>54</v>
      </c>
      <c r="H169" s="4"/>
      <c r="I169" s="4" t="s">
        <v>296</v>
      </c>
    </row>
    <row r="170" customFormat="false" ht="15" hidden="false" customHeight="false" outlineLevel="0" collapsed="false">
      <c r="A170" s="4" t="s">
        <v>283</v>
      </c>
      <c r="B170" s="4" t="s">
        <v>283</v>
      </c>
      <c r="C170" s="4" t="s">
        <v>297</v>
      </c>
      <c r="D170" s="7" t="b">
        <f aca="false">TRUE()</f>
        <v>1</v>
      </c>
      <c r="E170" s="4" t="s">
        <v>28</v>
      </c>
      <c r="F170" s="10" t="s">
        <v>48</v>
      </c>
      <c r="G170" s="4" t="s">
        <v>49</v>
      </c>
      <c r="H170" s="4" t="s">
        <v>298</v>
      </c>
      <c r="I170" s="4" t="s">
        <v>297</v>
      </c>
    </row>
    <row r="171" customFormat="false" ht="15" hidden="false" customHeight="false" outlineLevel="0" collapsed="false">
      <c r="A171" s="4" t="s">
        <v>283</v>
      </c>
      <c r="B171" s="4" t="s">
        <v>283</v>
      </c>
      <c r="C171" s="4" t="s">
        <v>299</v>
      </c>
      <c r="D171" s="7" t="b">
        <f aca="false">TRUE()</f>
        <v>1</v>
      </c>
      <c r="E171" s="4" t="s">
        <v>28</v>
      </c>
      <c r="F171" s="10" t="s">
        <v>48</v>
      </c>
      <c r="G171" s="4" t="s">
        <v>49</v>
      </c>
      <c r="H171" s="4" t="s">
        <v>300</v>
      </c>
      <c r="I171" s="4"/>
    </row>
    <row r="172" customFormat="false" ht="15" hidden="false" customHeight="false" outlineLevel="0" collapsed="false">
      <c r="A172" s="4" t="s">
        <v>283</v>
      </c>
      <c r="B172" s="4" t="s">
        <v>283</v>
      </c>
      <c r="C172" s="4" t="s">
        <v>301</v>
      </c>
      <c r="D172" s="7" t="b">
        <f aca="false">TRUE()</f>
        <v>1</v>
      </c>
      <c r="E172" s="4" t="s">
        <v>28</v>
      </c>
      <c r="F172" s="10" t="s">
        <v>48</v>
      </c>
      <c r="G172" s="4" t="s">
        <v>49</v>
      </c>
      <c r="H172" s="4" t="s">
        <v>300</v>
      </c>
      <c r="I172" s="4" t="s">
        <v>302</v>
      </c>
    </row>
    <row r="173" customFormat="false" ht="15" hidden="false" customHeight="false" outlineLevel="0" collapsed="false">
      <c r="A173" s="4" t="s">
        <v>283</v>
      </c>
      <c r="B173" s="4" t="s">
        <v>283</v>
      </c>
      <c r="C173" s="4" t="s">
        <v>303</v>
      </c>
      <c r="D173" s="7" t="b">
        <f aca="false">TRUE()</f>
        <v>1</v>
      </c>
      <c r="E173" s="4" t="s">
        <v>28</v>
      </c>
      <c r="F173" s="10" t="s">
        <v>48</v>
      </c>
      <c r="G173" s="4" t="s">
        <v>49</v>
      </c>
      <c r="H173" s="4" t="s">
        <v>304</v>
      </c>
      <c r="I173" s="4" t="s">
        <v>305</v>
      </c>
    </row>
    <row r="174" customFormat="false" ht="15" hidden="false" customHeight="false" outlineLevel="0" collapsed="false">
      <c r="A174" s="4" t="s">
        <v>283</v>
      </c>
      <c r="B174" s="4" t="s">
        <v>306</v>
      </c>
      <c r="C174" s="4" t="s">
        <v>307</v>
      </c>
      <c r="D174" s="7" t="b">
        <f aca="false">TRUE()</f>
        <v>1</v>
      </c>
      <c r="E174" s="4" t="s">
        <v>44</v>
      </c>
      <c r="F174" s="8" t="s">
        <v>35</v>
      </c>
      <c r="G174" s="4" t="s">
        <v>36</v>
      </c>
      <c r="H174" s="4"/>
      <c r="I174" s="4"/>
    </row>
    <row r="175" customFormat="false" ht="15" hidden="false" customHeight="false" outlineLevel="0" collapsed="false">
      <c r="A175" s="4" t="s">
        <v>283</v>
      </c>
      <c r="B175" s="4" t="s">
        <v>306</v>
      </c>
      <c r="C175" s="4" t="s">
        <v>308</v>
      </c>
      <c r="D175" s="7" t="b">
        <f aca="false">TRUE()</f>
        <v>1</v>
      </c>
      <c r="E175" s="4" t="s">
        <v>44</v>
      </c>
      <c r="F175" s="8" t="s">
        <v>35</v>
      </c>
      <c r="G175" s="4" t="s">
        <v>36</v>
      </c>
      <c r="H175" s="4"/>
      <c r="I175" s="4"/>
    </row>
    <row r="176" customFormat="false" ht="15" hidden="false" customHeight="false" outlineLevel="0" collapsed="false">
      <c r="A176" s="4" t="s">
        <v>283</v>
      </c>
      <c r="B176" s="4" t="s">
        <v>306</v>
      </c>
      <c r="C176" s="4" t="s">
        <v>309</v>
      </c>
      <c r="D176" s="7" t="b">
        <f aca="false">TRUE()</f>
        <v>1</v>
      </c>
      <c r="E176" s="4" t="s">
        <v>44</v>
      </c>
      <c r="F176" s="8" t="s">
        <v>35</v>
      </c>
      <c r="G176" s="4" t="s">
        <v>36</v>
      </c>
      <c r="H176" s="4"/>
      <c r="I176" s="4"/>
    </row>
    <row r="177" customFormat="false" ht="15" hidden="false" customHeight="false" outlineLevel="0" collapsed="false">
      <c r="A177" s="4" t="s">
        <v>283</v>
      </c>
      <c r="B177" s="4" t="s">
        <v>306</v>
      </c>
      <c r="C177" s="4" t="s">
        <v>310</v>
      </c>
      <c r="D177" s="7" t="b">
        <f aca="false">TRUE()</f>
        <v>1</v>
      </c>
      <c r="E177" s="4" t="s">
        <v>44</v>
      </c>
      <c r="F177" s="8" t="s">
        <v>35</v>
      </c>
      <c r="G177" s="4" t="s">
        <v>36</v>
      </c>
      <c r="H177" s="4"/>
      <c r="I177" s="4"/>
    </row>
    <row r="178" customFormat="false" ht="15" hidden="false" customHeight="false" outlineLevel="0" collapsed="false">
      <c r="A178" s="4" t="s">
        <v>283</v>
      </c>
      <c r="B178" s="4" t="s">
        <v>306</v>
      </c>
      <c r="C178" s="4" t="s">
        <v>311</v>
      </c>
      <c r="D178" s="7" t="b">
        <f aca="false">TRUE()</f>
        <v>1</v>
      </c>
      <c r="E178" s="4" t="s">
        <v>44</v>
      </c>
      <c r="F178" s="8" t="s">
        <v>35</v>
      </c>
      <c r="G178" s="4" t="s">
        <v>36</v>
      </c>
      <c r="H178" s="4"/>
      <c r="I178" s="4"/>
    </row>
    <row r="179" customFormat="false" ht="15" hidden="false" customHeight="false" outlineLevel="0" collapsed="false">
      <c r="A179" s="4" t="s">
        <v>283</v>
      </c>
      <c r="B179" s="4" t="s">
        <v>306</v>
      </c>
      <c r="C179" s="4" t="s">
        <v>310</v>
      </c>
      <c r="D179" s="7" t="b">
        <f aca="false">TRUE()</f>
        <v>1</v>
      </c>
      <c r="E179" s="4" t="s">
        <v>44</v>
      </c>
      <c r="F179" s="8" t="s">
        <v>35</v>
      </c>
      <c r="G179" s="4" t="s">
        <v>36</v>
      </c>
      <c r="H179" s="4"/>
      <c r="I179" s="4"/>
    </row>
    <row r="180" customFormat="false" ht="15" hidden="false" customHeight="false" outlineLevel="0" collapsed="false">
      <c r="A180" s="4" t="s">
        <v>283</v>
      </c>
      <c r="B180" s="4" t="s">
        <v>312</v>
      </c>
      <c r="C180" s="4" t="s">
        <v>313</v>
      </c>
      <c r="D180" s="7" t="b">
        <f aca="false">TRUE()</f>
        <v>1</v>
      </c>
      <c r="E180" s="4" t="s">
        <v>44</v>
      </c>
      <c r="F180" s="8" t="s">
        <v>35</v>
      </c>
      <c r="G180" s="4" t="s">
        <v>36</v>
      </c>
      <c r="H180" s="4"/>
      <c r="I180" s="4"/>
    </row>
    <row r="181" customFormat="false" ht="15" hidden="false" customHeight="false" outlineLevel="0" collapsed="false">
      <c r="A181" s="4" t="s">
        <v>283</v>
      </c>
      <c r="B181" s="4" t="s">
        <v>312</v>
      </c>
      <c r="C181" s="4" t="s">
        <v>314</v>
      </c>
      <c r="D181" s="7" t="b">
        <f aca="false">TRUE()</f>
        <v>1</v>
      </c>
      <c r="E181" s="4" t="s">
        <v>44</v>
      </c>
      <c r="F181" s="11" t="s">
        <v>53</v>
      </c>
      <c r="G181" s="4" t="s">
        <v>54</v>
      </c>
      <c r="H181" s="4"/>
      <c r="I181" s="4"/>
    </row>
    <row r="182" customFormat="false" ht="15" hidden="false" customHeight="false" outlineLevel="0" collapsed="false">
      <c r="A182" s="4" t="s">
        <v>283</v>
      </c>
      <c r="B182" s="4" t="s">
        <v>312</v>
      </c>
      <c r="C182" s="4" t="s">
        <v>315</v>
      </c>
      <c r="D182" s="7" t="b">
        <f aca="false">FALSE()</f>
        <v>0</v>
      </c>
      <c r="E182" s="4" t="s">
        <v>44</v>
      </c>
      <c r="F182" s="11" t="s">
        <v>53</v>
      </c>
      <c r="G182" s="4" t="s">
        <v>54</v>
      </c>
      <c r="H182" s="4"/>
      <c r="I182" s="4"/>
    </row>
    <row r="183" customFormat="false" ht="15" hidden="false" customHeight="false" outlineLevel="0" collapsed="false">
      <c r="A183" s="4" t="s">
        <v>283</v>
      </c>
      <c r="B183" s="4" t="s">
        <v>312</v>
      </c>
      <c r="C183" s="4" t="s">
        <v>316</v>
      </c>
      <c r="D183" s="7" t="b">
        <f aca="false">TRUE()</f>
        <v>1</v>
      </c>
      <c r="E183" s="4" t="s">
        <v>44</v>
      </c>
      <c r="F183" s="10" t="s">
        <v>48</v>
      </c>
      <c r="G183" s="4" t="s">
        <v>49</v>
      </c>
      <c r="H183" s="4" t="s">
        <v>317</v>
      </c>
      <c r="I183" s="4"/>
    </row>
    <row r="184" customFormat="false" ht="15" hidden="false" customHeight="false" outlineLevel="0" collapsed="false">
      <c r="A184" s="4" t="s">
        <v>283</v>
      </c>
      <c r="B184" s="4" t="s">
        <v>318</v>
      </c>
      <c r="C184" s="4" t="s">
        <v>319</v>
      </c>
      <c r="D184" s="7" t="b">
        <f aca="false">TRUE()</f>
        <v>1</v>
      </c>
      <c r="E184" s="4" t="s">
        <v>44</v>
      </c>
      <c r="F184" s="11" t="s">
        <v>53</v>
      </c>
      <c r="G184" s="4" t="s">
        <v>54</v>
      </c>
      <c r="H184" s="4"/>
      <c r="I184" s="4"/>
    </row>
    <row r="185" customFormat="false" ht="15" hidden="false" customHeight="false" outlineLevel="0" collapsed="false">
      <c r="A185" s="4" t="s">
        <v>283</v>
      </c>
      <c r="B185" s="4" t="s">
        <v>318</v>
      </c>
      <c r="C185" s="4" t="s">
        <v>320</v>
      </c>
      <c r="D185" s="7" t="b">
        <f aca="false">TRUE()</f>
        <v>1</v>
      </c>
      <c r="E185" s="4" t="s">
        <v>44</v>
      </c>
      <c r="F185" s="8" t="s">
        <v>35</v>
      </c>
      <c r="G185" s="4" t="s">
        <v>36</v>
      </c>
      <c r="H185" s="4"/>
      <c r="I185" s="4"/>
    </row>
    <row r="186" customFormat="false" ht="15" hidden="false" customHeight="false" outlineLevel="0" collapsed="false">
      <c r="A186" s="4" t="s">
        <v>283</v>
      </c>
      <c r="B186" s="4" t="s">
        <v>321</v>
      </c>
      <c r="C186" s="4" t="s">
        <v>322</v>
      </c>
      <c r="D186" s="7" t="b">
        <f aca="false">TRUE()</f>
        <v>1</v>
      </c>
      <c r="E186" s="4" t="s">
        <v>44</v>
      </c>
      <c r="F186" s="11" t="s">
        <v>53</v>
      </c>
      <c r="G186" s="4" t="s">
        <v>54</v>
      </c>
      <c r="H186" s="4"/>
      <c r="I186" s="4"/>
    </row>
    <row r="187" customFormat="false" ht="15" hidden="false" customHeight="false" outlineLevel="0" collapsed="false">
      <c r="A187" s="4" t="s">
        <v>283</v>
      </c>
      <c r="B187" s="4" t="s">
        <v>321</v>
      </c>
      <c r="C187" s="4" t="s">
        <v>323</v>
      </c>
      <c r="D187" s="7" t="b">
        <f aca="false">TRUE()</f>
        <v>1</v>
      </c>
      <c r="E187" s="4" t="s">
        <v>44</v>
      </c>
      <c r="F187" s="11" t="s">
        <v>53</v>
      </c>
      <c r="G187" s="4" t="s">
        <v>54</v>
      </c>
      <c r="H187" s="4"/>
      <c r="I187" s="4"/>
    </row>
    <row r="188" customFormat="false" ht="15" hidden="false" customHeight="false" outlineLevel="0" collapsed="false">
      <c r="A188" s="4" t="s">
        <v>283</v>
      </c>
      <c r="B188" s="4" t="s">
        <v>321</v>
      </c>
      <c r="C188" s="4" t="s">
        <v>324</v>
      </c>
      <c r="D188" s="7" t="b">
        <f aca="false">TRUE()</f>
        <v>1</v>
      </c>
      <c r="E188" s="4" t="s">
        <v>44</v>
      </c>
      <c r="F188" s="10" t="s">
        <v>48</v>
      </c>
      <c r="G188" s="4" t="s">
        <v>49</v>
      </c>
      <c r="H188" s="4" t="s">
        <v>289</v>
      </c>
      <c r="I188" s="4"/>
    </row>
    <row r="189" customFormat="false" ht="15" hidden="false" customHeight="false" outlineLevel="0" collapsed="false">
      <c r="A189" s="4" t="s">
        <v>283</v>
      </c>
      <c r="B189" s="4" t="s">
        <v>325</v>
      </c>
      <c r="C189" s="4" t="s">
        <v>326</v>
      </c>
      <c r="D189" s="7" t="b">
        <f aca="false">TRUE()</f>
        <v>1</v>
      </c>
      <c r="E189" s="4" t="s">
        <v>44</v>
      </c>
      <c r="F189" s="11" t="s">
        <v>53</v>
      </c>
      <c r="G189" s="4" t="s">
        <v>54</v>
      </c>
      <c r="H189" s="4"/>
      <c r="I189" s="4"/>
    </row>
    <row r="190" customFormat="false" ht="15" hidden="false" customHeight="false" outlineLevel="0" collapsed="false">
      <c r="A190" s="4" t="s">
        <v>283</v>
      </c>
      <c r="B190" s="4" t="s">
        <v>325</v>
      </c>
      <c r="C190" s="4" t="s">
        <v>327</v>
      </c>
      <c r="D190" s="7" t="b">
        <f aca="false">TRUE()</f>
        <v>1</v>
      </c>
      <c r="E190" s="4" t="s">
        <v>44</v>
      </c>
      <c r="F190" s="11" t="s">
        <v>53</v>
      </c>
      <c r="G190" s="4" t="s">
        <v>54</v>
      </c>
      <c r="H190" s="4"/>
      <c r="I190" s="4"/>
    </row>
    <row r="191" customFormat="false" ht="15" hidden="false" customHeight="false" outlineLevel="0" collapsed="false">
      <c r="A191" s="4" t="s">
        <v>283</v>
      </c>
      <c r="B191" s="4" t="s">
        <v>328</v>
      </c>
      <c r="C191" s="4" t="s">
        <v>329</v>
      </c>
      <c r="D191" s="7" t="b">
        <f aca="false">TRUE()</f>
        <v>1</v>
      </c>
      <c r="E191" s="4" t="s">
        <v>44</v>
      </c>
      <c r="F191" s="11" t="s">
        <v>53</v>
      </c>
      <c r="G191" s="4" t="s">
        <v>54</v>
      </c>
      <c r="H191" s="4"/>
      <c r="I191" s="4"/>
    </row>
    <row r="192" customFormat="false" ht="15" hidden="false" customHeight="false" outlineLevel="0" collapsed="false">
      <c r="A192" s="4" t="s">
        <v>283</v>
      </c>
      <c r="B192" s="4" t="s">
        <v>328</v>
      </c>
      <c r="C192" s="4" t="s">
        <v>330</v>
      </c>
      <c r="D192" s="7" t="b">
        <f aca="false">TRUE()</f>
        <v>1</v>
      </c>
      <c r="E192" s="4" t="s">
        <v>44</v>
      </c>
      <c r="F192" s="10" t="s">
        <v>48</v>
      </c>
      <c r="G192" s="4" t="s">
        <v>49</v>
      </c>
      <c r="H192" s="4" t="s">
        <v>300</v>
      </c>
      <c r="I192" s="4"/>
    </row>
    <row r="193" customFormat="false" ht="15" hidden="false" customHeight="false" outlineLevel="0" collapsed="false">
      <c r="A193" s="4" t="s">
        <v>283</v>
      </c>
      <c r="B193" s="4" t="s">
        <v>331</v>
      </c>
      <c r="C193" s="4" t="s">
        <v>332</v>
      </c>
      <c r="D193" s="7" t="b">
        <f aca="false">TRUE()</f>
        <v>1</v>
      </c>
      <c r="E193" s="4" t="s">
        <v>44</v>
      </c>
      <c r="F193" s="11" t="s">
        <v>53</v>
      </c>
      <c r="G193" s="4" t="s">
        <v>54</v>
      </c>
      <c r="H193" s="4"/>
      <c r="I193" s="4"/>
    </row>
    <row r="194" customFormat="false" ht="15" hidden="false" customHeight="false" outlineLevel="0" collapsed="false">
      <c r="A194" s="4" t="s">
        <v>283</v>
      </c>
      <c r="B194" s="4" t="s">
        <v>331</v>
      </c>
      <c r="C194" s="4" t="s">
        <v>333</v>
      </c>
      <c r="D194" s="7" t="b">
        <f aca="false">TRUE()</f>
        <v>1</v>
      </c>
      <c r="E194" s="4" t="s">
        <v>44</v>
      </c>
      <c r="F194" s="10" t="s">
        <v>48</v>
      </c>
      <c r="G194" s="4" t="s">
        <v>49</v>
      </c>
      <c r="H194" s="4" t="s">
        <v>300</v>
      </c>
      <c r="I194" s="4"/>
    </row>
    <row r="195" customFormat="false" ht="15" hidden="false" customHeight="false" outlineLevel="0" collapsed="false">
      <c r="A195" s="4" t="s">
        <v>283</v>
      </c>
      <c r="B195" s="4" t="s">
        <v>334</v>
      </c>
      <c r="C195" s="4" t="s">
        <v>335</v>
      </c>
      <c r="D195" s="7" t="b">
        <f aca="false">TRUE()</f>
        <v>1</v>
      </c>
      <c r="E195" s="4" t="s">
        <v>44</v>
      </c>
      <c r="F195" s="11" t="s">
        <v>53</v>
      </c>
      <c r="G195" s="4" t="s">
        <v>54</v>
      </c>
      <c r="H195" s="4"/>
      <c r="I195" s="4"/>
    </row>
    <row r="196" customFormat="false" ht="15" hidden="false" customHeight="false" outlineLevel="0" collapsed="false">
      <c r="A196" s="4" t="s">
        <v>283</v>
      </c>
      <c r="B196" s="4" t="s">
        <v>334</v>
      </c>
      <c r="C196" s="4" t="s">
        <v>336</v>
      </c>
      <c r="D196" s="7" t="b">
        <f aca="false">TRUE()</f>
        <v>1</v>
      </c>
      <c r="E196" s="4" t="s">
        <v>44</v>
      </c>
      <c r="F196" s="11" t="s">
        <v>53</v>
      </c>
      <c r="G196" s="4" t="s">
        <v>54</v>
      </c>
      <c r="H196" s="4"/>
      <c r="I196" s="4"/>
    </row>
    <row r="197" customFormat="false" ht="15" hidden="false" customHeight="false" outlineLevel="0" collapsed="false">
      <c r="A197" s="4" t="s">
        <v>283</v>
      </c>
      <c r="B197" s="4" t="s">
        <v>334</v>
      </c>
      <c r="C197" s="4" t="s">
        <v>337</v>
      </c>
      <c r="D197" s="7" t="b">
        <f aca="false">FALSE()</f>
        <v>0</v>
      </c>
      <c r="E197" s="4" t="s">
        <v>44</v>
      </c>
      <c r="F197" s="10" t="s">
        <v>48</v>
      </c>
      <c r="G197" s="4" t="s">
        <v>49</v>
      </c>
      <c r="H197" s="4" t="s">
        <v>300</v>
      </c>
      <c r="I197" s="4"/>
    </row>
    <row r="198" customFormat="false" ht="15" hidden="false" customHeight="false" outlineLevel="0" collapsed="false">
      <c r="A198" s="4" t="s">
        <v>283</v>
      </c>
      <c r="B198" s="4" t="s">
        <v>338</v>
      </c>
      <c r="C198" s="4" t="s">
        <v>339</v>
      </c>
      <c r="D198" s="7" t="b">
        <f aca="false">TRUE()</f>
        <v>1</v>
      </c>
      <c r="E198" s="4" t="s">
        <v>44</v>
      </c>
      <c r="F198" s="11" t="s">
        <v>53</v>
      </c>
      <c r="G198" s="4" t="s">
        <v>54</v>
      </c>
      <c r="H198" s="4"/>
      <c r="I198" s="4"/>
    </row>
    <row r="199" customFormat="false" ht="15" hidden="false" customHeight="false" outlineLevel="0" collapsed="false">
      <c r="A199" s="4" t="s">
        <v>283</v>
      </c>
      <c r="B199" s="4" t="s">
        <v>338</v>
      </c>
      <c r="C199" s="4" t="s">
        <v>340</v>
      </c>
      <c r="D199" s="7" t="b">
        <f aca="false">TRUE()</f>
        <v>1</v>
      </c>
      <c r="E199" s="4" t="s">
        <v>44</v>
      </c>
      <c r="F199" s="11" t="s">
        <v>53</v>
      </c>
      <c r="G199" s="4" t="s">
        <v>54</v>
      </c>
      <c r="H199" s="4"/>
      <c r="I199" s="4"/>
    </row>
    <row r="200" customFormat="false" ht="15" hidden="false" customHeight="false" outlineLevel="0" collapsed="false">
      <c r="A200" s="4" t="s">
        <v>283</v>
      </c>
      <c r="B200" s="4" t="s">
        <v>338</v>
      </c>
      <c r="C200" s="4" t="s">
        <v>341</v>
      </c>
      <c r="D200" s="7" t="b">
        <f aca="false">TRUE()</f>
        <v>1</v>
      </c>
      <c r="E200" s="4" t="s">
        <v>44</v>
      </c>
      <c r="F200" s="11" t="s">
        <v>53</v>
      </c>
      <c r="G200" s="4" t="s">
        <v>54</v>
      </c>
      <c r="H200" s="4"/>
      <c r="I200" s="4"/>
    </row>
    <row r="201" customFormat="false" ht="15" hidden="false" customHeight="false" outlineLevel="0" collapsed="false">
      <c r="A201" s="4" t="s">
        <v>283</v>
      </c>
      <c r="B201" s="4" t="s">
        <v>338</v>
      </c>
      <c r="C201" s="4" t="s">
        <v>342</v>
      </c>
      <c r="D201" s="7" t="b">
        <f aca="false">TRUE()</f>
        <v>1</v>
      </c>
      <c r="E201" s="4" t="s">
        <v>44</v>
      </c>
      <c r="F201" s="11" t="s">
        <v>53</v>
      </c>
      <c r="G201" s="4" t="s">
        <v>54</v>
      </c>
      <c r="H201" s="4"/>
      <c r="I201" s="4"/>
    </row>
    <row r="202" customFormat="false" ht="15" hidden="false" customHeight="false" outlineLevel="0" collapsed="false">
      <c r="A202" s="4" t="s">
        <v>283</v>
      </c>
      <c r="B202" s="4" t="s">
        <v>338</v>
      </c>
      <c r="C202" s="4" t="s">
        <v>343</v>
      </c>
      <c r="D202" s="7" t="b">
        <f aca="false">TRUE()</f>
        <v>1</v>
      </c>
      <c r="E202" s="4" t="s">
        <v>44</v>
      </c>
      <c r="F202" s="11" t="s">
        <v>53</v>
      </c>
      <c r="G202" s="4" t="s">
        <v>54</v>
      </c>
      <c r="H202" s="4"/>
      <c r="I202" s="4" t="s">
        <v>344</v>
      </c>
    </row>
    <row r="203" customFormat="false" ht="15" hidden="false" customHeight="false" outlineLevel="0" collapsed="false">
      <c r="A203" s="4" t="s">
        <v>283</v>
      </c>
      <c r="B203" s="4" t="s">
        <v>338</v>
      </c>
      <c r="C203" s="4" t="s">
        <v>345</v>
      </c>
      <c r="D203" s="7" t="b">
        <f aca="false">TRUE()</f>
        <v>1</v>
      </c>
      <c r="E203" s="4" t="s">
        <v>44</v>
      </c>
      <c r="F203" s="11" t="s">
        <v>53</v>
      </c>
      <c r="G203" s="4" t="s">
        <v>54</v>
      </c>
      <c r="H203" s="4"/>
      <c r="I203" s="4"/>
    </row>
    <row r="204" customFormat="false" ht="15" hidden="false" customHeight="false" outlineLevel="0" collapsed="false">
      <c r="A204" s="4" t="s">
        <v>283</v>
      </c>
      <c r="B204" s="4" t="s">
        <v>338</v>
      </c>
      <c r="C204" s="4" t="s">
        <v>346</v>
      </c>
      <c r="D204" s="7" t="b">
        <f aca="false">TRUE()</f>
        <v>1</v>
      </c>
      <c r="E204" s="4" t="s">
        <v>44</v>
      </c>
      <c r="F204" s="11" t="s">
        <v>53</v>
      </c>
      <c r="G204" s="4" t="s">
        <v>54</v>
      </c>
      <c r="H204" s="4"/>
      <c r="I204" s="4" t="s">
        <v>347</v>
      </c>
    </row>
    <row r="205" customFormat="false" ht="15" hidden="false" customHeight="false" outlineLevel="0" collapsed="false">
      <c r="A205" s="4" t="s">
        <v>283</v>
      </c>
      <c r="B205" s="4" t="s">
        <v>338</v>
      </c>
      <c r="C205" s="4" t="s">
        <v>348</v>
      </c>
      <c r="D205" s="7" t="b">
        <f aca="false">TRUE()</f>
        <v>1</v>
      </c>
      <c r="E205" s="4" t="s">
        <v>44</v>
      </c>
      <c r="F205" s="11" t="s">
        <v>53</v>
      </c>
      <c r="G205" s="4" t="s">
        <v>54</v>
      </c>
      <c r="H205" s="4"/>
      <c r="I205" s="4"/>
    </row>
    <row r="206" customFormat="false" ht="15" hidden="false" customHeight="false" outlineLevel="0" collapsed="false">
      <c r="A206" s="4" t="s">
        <v>283</v>
      </c>
      <c r="B206" s="4" t="s">
        <v>338</v>
      </c>
      <c r="C206" s="4" t="s">
        <v>349</v>
      </c>
      <c r="D206" s="7" t="b">
        <f aca="false">TRUE()</f>
        <v>1</v>
      </c>
      <c r="E206" s="4" t="s">
        <v>44</v>
      </c>
      <c r="F206" s="11" t="s">
        <v>53</v>
      </c>
      <c r="G206" s="4" t="s">
        <v>54</v>
      </c>
      <c r="H206" s="4"/>
      <c r="I206" s="4"/>
    </row>
    <row r="207" customFormat="false" ht="15" hidden="false" customHeight="false" outlineLevel="0" collapsed="false">
      <c r="A207" s="4" t="s">
        <v>283</v>
      </c>
      <c r="B207" s="4" t="s">
        <v>338</v>
      </c>
      <c r="C207" s="4" t="s">
        <v>350</v>
      </c>
      <c r="D207" s="7" t="b">
        <f aca="false">TRUE()</f>
        <v>1</v>
      </c>
      <c r="E207" s="4" t="s">
        <v>44</v>
      </c>
      <c r="F207" s="11" t="s">
        <v>53</v>
      </c>
      <c r="G207" s="4" t="s">
        <v>54</v>
      </c>
      <c r="H207" s="4"/>
      <c r="I207" s="4"/>
    </row>
    <row r="208" customFormat="false" ht="15" hidden="false" customHeight="false" outlineLevel="0" collapsed="false">
      <c r="A208" s="4" t="s">
        <v>283</v>
      </c>
      <c r="B208" s="4" t="s">
        <v>338</v>
      </c>
      <c r="C208" s="4" t="s">
        <v>351</v>
      </c>
      <c r="D208" s="7" t="b">
        <f aca="false">TRUE()</f>
        <v>1</v>
      </c>
      <c r="E208" s="4" t="s">
        <v>44</v>
      </c>
      <c r="F208" s="11" t="s">
        <v>53</v>
      </c>
      <c r="G208" s="4" t="s">
        <v>54</v>
      </c>
      <c r="H208" s="4"/>
      <c r="I208" s="4" t="s">
        <v>352</v>
      </c>
    </row>
    <row r="209" customFormat="false" ht="15" hidden="false" customHeight="false" outlineLevel="0" collapsed="false">
      <c r="A209" s="4" t="s">
        <v>283</v>
      </c>
      <c r="B209" s="4" t="s">
        <v>338</v>
      </c>
      <c r="C209" s="4" t="s">
        <v>353</v>
      </c>
      <c r="D209" s="7" t="b">
        <f aca="false">TRUE()</f>
        <v>1</v>
      </c>
      <c r="E209" s="4" t="s">
        <v>44</v>
      </c>
      <c r="F209" s="11" t="s">
        <v>53</v>
      </c>
      <c r="G209" s="4" t="s">
        <v>54</v>
      </c>
      <c r="H209" s="4"/>
      <c r="I209" s="4"/>
    </row>
    <row r="210" customFormat="false" ht="15" hidden="false" customHeight="false" outlineLevel="0" collapsed="false">
      <c r="A210" s="4" t="s">
        <v>283</v>
      </c>
      <c r="B210" s="4" t="s">
        <v>338</v>
      </c>
      <c r="C210" s="4" t="s">
        <v>354</v>
      </c>
      <c r="D210" s="7" t="b">
        <f aca="false">TRUE()</f>
        <v>1</v>
      </c>
      <c r="E210" s="4" t="s">
        <v>44</v>
      </c>
      <c r="F210" s="11" t="s">
        <v>53</v>
      </c>
      <c r="G210" s="4" t="s">
        <v>54</v>
      </c>
      <c r="H210" s="4"/>
      <c r="I210" s="4"/>
    </row>
    <row r="211" customFormat="false" ht="15" hidden="false" customHeight="false" outlineLevel="0" collapsed="false">
      <c r="A211" s="4" t="s">
        <v>283</v>
      </c>
      <c r="B211" s="4" t="s">
        <v>338</v>
      </c>
      <c r="C211" s="4" t="s">
        <v>355</v>
      </c>
      <c r="D211" s="7" t="b">
        <f aca="false">TRUE()</f>
        <v>1</v>
      </c>
      <c r="E211" s="4" t="s">
        <v>44</v>
      </c>
      <c r="F211" s="11" t="s">
        <v>53</v>
      </c>
      <c r="G211" s="4" t="s">
        <v>54</v>
      </c>
      <c r="H211" s="4"/>
      <c r="I211" s="4"/>
    </row>
    <row r="212" customFormat="false" ht="15" hidden="false" customHeight="false" outlineLevel="0" collapsed="false">
      <c r="A212" s="4" t="s">
        <v>283</v>
      </c>
      <c r="B212" s="4" t="s">
        <v>338</v>
      </c>
      <c r="C212" s="4" t="s">
        <v>356</v>
      </c>
      <c r="D212" s="7" t="b">
        <f aca="false">TRUE()</f>
        <v>1</v>
      </c>
      <c r="E212" s="4" t="s">
        <v>44</v>
      </c>
      <c r="F212" s="11" t="s">
        <v>53</v>
      </c>
      <c r="G212" s="4" t="s">
        <v>54</v>
      </c>
      <c r="H212" s="4"/>
      <c r="I212" s="4"/>
    </row>
    <row r="213" customFormat="false" ht="15" hidden="false" customHeight="false" outlineLevel="0" collapsed="false">
      <c r="A213" s="4" t="s">
        <v>283</v>
      </c>
      <c r="B213" s="4" t="s">
        <v>338</v>
      </c>
      <c r="C213" s="4" t="s">
        <v>357</v>
      </c>
      <c r="D213" s="7" t="b">
        <f aca="false">TRUE()</f>
        <v>1</v>
      </c>
      <c r="E213" s="4" t="s">
        <v>44</v>
      </c>
      <c r="F213" s="11" t="s">
        <v>53</v>
      </c>
      <c r="G213" s="4" t="s">
        <v>54</v>
      </c>
      <c r="H213" s="4"/>
      <c r="I213" s="4"/>
    </row>
    <row r="214" customFormat="false" ht="15" hidden="false" customHeight="false" outlineLevel="0" collapsed="false">
      <c r="A214" s="4" t="s">
        <v>283</v>
      </c>
      <c r="B214" s="4" t="s">
        <v>338</v>
      </c>
      <c r="C214" s="4" t="s">
        <v>358</v>
      </c>
      <c r="D214" s="7" t="b">
        <f aca="false">TRUE()</f>
        <v>1</v>
      </c>
      <c r="E214" s="4" t="s">
        <v>44</v>
      </c>
      <c r="F214" s="11" t="s">
        <v>53</v>
      </c>
      <c r="G214" s="4" t="s">
        <v>54</v>
      </c>
      <c r="H214" s="4"/>
      <c r="I214" s="4"/>
    </row>
    <row r="215" customFormat="false" ht="15" hidden="false" customHeight="false" outlineLevel="0" collapsed="false">
      <c r="A215" s="4" t="s">
        <v>283</v>
      </c>
      <c r="B215" s="4" t="s">
        <v>338</v>
      </c>
      <c r="C215" s="4" t="s">
        <v>359</v>
      </c>
      <c r="D215" s="7" t="b">
        <f aca="false">TRUE()</f>
        <v>1</v>
      </c>
      <c r="E215" s="4" t="s">
        <v>44</v>
      </c>
      <c r="F215" s="11" t="s">
        <v>53</v>
      </c>
      <c r="G215" s="4" t="s">
        <v>54</v>
      </c>
      <c r="H215" s="4"/>
      <c r="I215" s="4"/>
    </row>
    <row r="216" customFormat="false" ht="15" hidden="false" customHeight="false" outlineLevel="0" collapsed="false">
      <c r="A216" s="4" t="s">
        <v>283</v>
      </c>
      <c r="B216" s="4" t="s">
        <v>338</v>
      </c>
      <c r="C216" s="4" t="s">
        <v>360</v>
      </c>
      <c r="D216" s="7" t="b">
        <f aca="false">TRUE()</f>
        <v>1</v>
      </c>
      <c r="E216" s="4" t="s">
        <v>44</v>
      </c>
      <c r="F216" s="11" t="s">
        <v>53</v>
      </c>
      <c r="G216" s="4" t="s">
        <v>54</v>
      </c>
      <c r="H216" s="4"/>
      <c r="I216" s="4" t="s">
        <v>361</v>
      </c>
    </row>
    <row r="217" customFormat="false" ht="15" hidden="false" customHeight="false" outlineLevel="0" collapsed="false">
      <c r="A217" s="4" t="s">
        <v>283</v>
      </c>
      <c r="B217" s="4" t="s">
        <v>338</v>
      </c>
      <c r="C217" s="4" t="s">
        <v>362</v>
      </c>
      <c r="D217" s="7" t="b">
        <f aca="false">TRUE()</f>
        <v>1</v>
      </c>
      <c r="E217" s="4" t="s">
        <v>44</v>
      </c>
      <c r="F217" s="11" t="s">
        <v>53</v>
      </c>
      <c r="G217" s="4" t="s">
        <v>54</v>
      </c>
      <c r="H217" s="4"/>
      <c r="I217" s="4"/>
    </row>
    <row r="218" customFormat="false" ht="15" hidden="false" customHeight="false" outlineLevel="0" collapsed="false">
      <c r="A218" s="4" t="s">
        <v>283</v>
      </c>
      <c r="B218" s="4" t="s">
        <v>338</v>
      </c>
      <c r="C218" s="4" t="s">
        <v>363</v>
      </c>
      <c r="D218" s="7" t="b">
        <f aca="false">TRUE()</f>
        <v>1</v>
      </c>
      <c r="E218" s="4" t="s">
        <v>44</v>
      </c>
      <c r="F218" s="11" t="s">
        <v>53</v>
      </c>
      <c r="G218" s="4" t="s">
        <v>54</v>
      </c>
      <c r="H218" s="4"/>
      <c r="I218" s="4"/>
    </row>
    <row r="219" customFormat="false" ht="15" hidden="false" customHeight="false" outlineLevel="0" collapsed="false">
      <c r="A219" s="4" t="s">
        <v>283</v>
      </c>
      <c r="B219" s="4" t="s">
        <v>338</v>
      </c>
      <c r="C219" s="4" t="s">
        <v>364</v>
      </c>
      <c r="D219" s="7" t="b">
        <f aca="false">TRUE()</f>
        <v>1</v>
      </c>
      <c r="E219" s="4" t="s">
        <v>44</v>
      </c>
      <c r="F219" s="11" t="s">
        <v>53</v>
      </c>
      <c r="G219" s="4" t="s">
        <v>54</v>
      </c>
      <c r="H219" s="4"/>
      <c r="I219" s="4"/>
    </row>
    <row r="220" customFormat="false" ht="15" hidden="false" customHeight="false" outlineLevel="0" collapsed="false">
      <c r="A220" s="4" t="s">
        <v>283</v>
      </c>
      <c r="B220" s="4" t="s">
        <v>338</v>
      </c>
      <c r="C220" s="4" t="s">
        <v>365</v>
      </c>
      <c r="D220" s="7" t="b">
        <f aca="false">FALSE()</f>
        <v>0</v>
      </c>
      <c r="E220" s="4" t="s">
        <v>44</v>
      </c>
      <c r="F220" s="11" t="s">
        <v>53</v>
      </c>
      <c r="G220" s="4" t="s">
        <v>54</v>
      </c>
      <c r="H220" s="4"/>
      <c r="I220" s="4"/>
    </row>
    <row r="221" customFormat="false" ht="15" hidden="false" customHeight="false" outlineLevel="0" collapsed="false">
      <c r="A221" s="4" t="s">
        <v>283</v>
      </c>
      <c r="B221" s="4" t="s">
        <v>338</v>
      </c>
      <c r="C221" s="4" t="s">
        <v>366</v>
      </c>
      <c r="D221" s="7" t="b">
        <f aca="false">TRUE()</f>
        <v>1</v>
      </c>
      <c r="E221" s="4" t="s">
        <v>44</v>
      </c>
      <c r="F221" s="11" t="s">
        <v>53</v>
      </c>
      <c r="G221" s="4" t="s">
        <v>54</v>
      </c>
      <c r="H221" s="4"/>
      <c r="I221" s="4"/>
    </row>
    <row r="222" customFormat="false" ht="15" hidden="false" customHeight="false" outlineLevel="0" collapsed="false">
      <c r="A222" s="4" t="s">
        <v>283</v>
      </c>
      <c r="B222" s="4" t="s">
        <v>367</v>
      </c>
      <c r="C222" s="4" t="s">
        <v>368</v>
      </c>
      <c r="D222" s="7" t="b">
        <f aca="false">TRUE()</f>
        <v>1</v>
      </c>
      <c r="E222" s="4" t="s">
        <v>44</v>
      </c>
      <c r="F222" s="11" t="s">
        <v>53</v>
      </c>
      <c r="G222" s="4" t="s">
        <v>54</v>
      </c>
      <c r="H222" s="4"/>
      <c r="I222" s="9" t="s">
        <v>369</v>
      </c>
    </row>
    <row r="223" customFormat="false" ht="15" hidden="false" customHeight="false" outlineLevel="0" collapsed="false">
      <c r="A223" s="4" t="s">
        <v>283</v>
      </c>
      <c r="B223" s="4" t="s">
        <v>367</v>
      </c>
      <c r="C223" s="4" t="s">
        <v>370</v>
      </c>
      <c r="D223" s="7" t="b">
        <f aca="false">TRUE()</f>
        <v>1</v>
      </c>
      <c r="E223" s="4" t="s">
        <v>44</v>
      </c>
      <c r="F223" s="8" t="s">
        <v>35</v>
      </c>
      <c r="G223" s="4" t="s">
        <v>36</v>
      </c>
      <c r="H223" s="4"/>
      <c r="I223" s="9" t="s">
        <v>369</v>
      </c>
    </row>
    <row r="224" customFormat="false" ht="15" hidden="false" customHeight="false" outlineLevel="0" collapsed="false">
      <c r="A224" s="4" t="s">
        <v>283</v>
      </c>
      <c r="B224" s="4" t="s">
        <v>367</v>
      </c>
      <c r="C224" s="4" t="s">
        <v>371</v>
      </c>
      <c r="D224" s="7" t="b">
        <f aca="false">TRUE()</f>
        <v>1</v>
      </c>
      <c r="E224" s="4" t="s">
        <v>44</v>
      </c>
      <c r="F224" s="10" t="s">
        <v>48</v>
      </c>
      <c r="G224" s="4" t="s">
        <v>49</v>
      </c>
      <c r="H224" s="4" t="s">
        <v>372</v>
      </c>
      <c r="I224" s="9" t="s">
        <v>373</v>
      </c>
    </row>
    <row r="225" customFormat="false" ht="15" hidden="false" customHeight="false" outlineLevel="0" collapsed="false">
      <c r="A225" s="4" t="s">
        <v>283</v>
      </c>
      <c r="B225" s="4" t="s">
        <v>367</v>
      </c>
      <c r="C225" s="4" t="s">
        <v>374</v>
      </c>
      <c r="D225" s="7" t="b">
        <f aca="false">TRUE()</f>
        <v>1</v>
      </c>
      <c r="E225" s="4" t="s">
        <v>44</v>
      </c>
      <c r="F225" s="10" t="s">
        <v>48</v>
      </c>
      <c r="G225" s="4" t="s">
        <v>49</v>
      </c>
      <c r="H225" s="4" t="s">
        <v>372</v>
      </c>
      <c r="I225" s="4" t="s">
        <v>375</v>
      </c>
    </row>
    <row r="226" customFormat="false" ht="15" hidden="false" customHeight="false" outlineLevel="0" collapsed="false">
      <c r="A226" s="4" t="s">
        <v>283</v>
      </c>
      <c r="B226" s="4" t="s">
        <v>376</v>
      </c>
      <c r="C226" s="4" t="s">
        <v>377</v>
      </c>
      <c r="D226" s="7" t="b">
        <f aca="false">TRUE()</f>
        <v>1</v>
      </c>
      <c r="E226" s="4" t="s">
        <v>44</v>
      </c>
      <c r="F226" s="11" t="s">
        <v>53</v>
      </c>
      <c r="G226" s="4" t="s">
        <v>54</v>
      </c>
      <c r="H226" s="4"/>
      <c r="I226" s="4" t="s">
        <v>378</v>
      </c>
    </row>
    <row r="227" customFormat="false" ht="15" hidden="false" customHeight="false" outlineLevel="0" collapsed="false">
      <c r="A227" s="4" t="s">
        <v>283</v>
      </c>
      <c r="B227" s="4" t="s">
        <v>379</v>
      </c>
      <c r="C227" s="4" t="s">
        <v>380</v>
      </c>
      <c r="D227" s="7" t="b">
        <f aca="false">TRUE()</f>
        <v>1</v>
      </c>
      <c r="E227" s="4" t="s">
        <v>44</v>
      </c>
      <c r="F227" s="10" t="s">
        <v>48</v>
      </c>
      <c r="G227" s="4" t="s">
        <v>49</v>
      </c>
      <c r="H227" s="4" t="s">
        <v>381</v>
      </c>
      <c r="I227" s="4" t="s">
        <v>382</v>
      </c>
    </row>
    <row r="228" customFormat="false" ht="15" hidden="false" customHeight="false" outlineLevel="0" collapsed="false">
      <c r="A228" s="4" t="s">
        <v>283</v>
      </c>
      <c r="B228" s="4" t="s">
        <v>379</v>
      </c>
      <c r="C228" s="4" t="s">
        <v>383</v>
      </c>
      <c r="D228" s="7" t="b">
        <f aca="false">TRUE()</f>
        <v>1</v>
      </c>
      <c r="E228" s="4" t="s">
        <v>44</v>
      </c>
      <c r="F228" s="4" t="s">
        <v>384</v>
      </c>
      <c r="G228" s="4" t="s">
        <v>385</v>
      </c>
      <c r="H228" s="4"/>
      <c r="I228" s="4"/>
    </row>
    <row r="229" customFormat="false" ht="15" hidden="false" customHeight="false" outlineLevel="0" collapsed="false">
      <c r="A229" s="4" t="s">
        <v>283</v>
      </c>
      <c r="B229" s="4" t="s">
        <v>379</v>
      </c>
      <c r="C229" s="4" t="s">
        <v>386</v>
      </c>
      <c r="D229" s="7" t="b">
        <f aca="false">TRUE()</f>
        <v>1</v>
      </c>
      <c r="E229" s="4" t="s">
        <v>44</v>
      </c>
      <c r="F229" s="10" t="s">
        <v>48</v>
      </c>
      <c r="G229" s="4" t="s">
        <v>49</v>
      </c>
      <c r="H229" s="4" t="s">
        <v>387</v>
      </c>
      <c r="I229" s="4"/>
    </row>
    <row r="230" customFormat="false" ht="15" hidden="false" customHeight="false" outlineLevel="0" collapsed="false">
      <c r="A230" s="4" t="s">
        <v>283</v>
      </c>
      <c r="B230" s="4" t="s">
        <v>379</v>
      </c>
      <c r="C230" s="4" t="s">
        <v>388</v>
      </c>
      <c r="D230" s="7" t="b">
        <f aca="false">TRUE()</f>
        <v>1</v>
      </c>
      <c r="E230" s="4" t="s">
        <v>44</v>
      </c>
      <c r="F230" s="11" t="s">
        <v>53</v>
      </c>
      <c r="G230" s="4" t="s">
        <v>54</v>
      </c>
      <c r="H230" s="4"/>
      <c r="I230" s="4"/>
    </row>
    <row r="231" customFormat="false" ht="15" hidden="false" customHeight="false" outlineLevel="0" collapsed="false">
      <c r="A231" s="4" t="s">
        <v>283</v>
      </c>
      <c r="B231" s="4" t="s">
        <v>379</v>
      </c>
      <c r="C231" s="4" t="s">
        <v>389</v>
      </c>
      <c r="D231" s="7" t="b">
        <f aca="false">TRUE()</f>
        <v>1</v>
      </c>
      <c r="E231" s="4" t="s">
        <v>44</v>
      </c>
      <c r="F231" s="10" t="s">
        <v>48</v>
      </c>
      <c r="G231" s="4" t="s">
        <v>49</v>
      </c>
      <c r="H231" s="4" t="s">
        <v>300</v>
      </c>
      <c r="I231" s="4" t="s">
        <v>390</v>
      </c>
    </row>
    <row r="232" customFormat="false" ht="15" hidden="false" customHeight="false" outlineLevel="0" collapsed="false">
      <c r="A232" s="4" t="s">
        <v>283</v>
      </c>
      <c r="B232" s="4" t="s">
        <v>379</v>
      </c>
      <c r="C232" s="4" t="s">
        <v>391</v>
      </c>
      <c r="D232" s="7" t="b">
        <f aca="false">TRUE()</f>
        <v>1</v>
      </c>
      <c r="E232" s="4" t="s">
        <v>44</v>
      </c>
      <c r="F232" s="10" t="s">
        <v>48</v>
      </c>
      <c r="G232" s="4" t="s">
        <v>49</v>
      </c>
      <c r="H232" s="4" t="s">
        <v>300</v>
      </c>
      <c r="I232" s="4"/>
    </row>
    <row r="233" customFormat="false" ht="15" hidden="false" customHeight="false" outlineLevel="0" collapsed="false">
      <c r="A233" s="4" t="s">
        <v>283</v>
      </c>
      <c r="B233" s="4" t="s">
        <v>379</v>
      </c>
      <c r="C233" s="4" t="s">
        <v>392</v>
      </c>
      <c r="D233" s="7" t="b">
        <f aca="false">TRUE()</f>
        <v>1</v>
      </c>
      <c r="E233" s="4" t="s">
        <v>44</v>
      </c>
      <c r="F233" s="10" t="s">
        <v>48</v>
      </c>
      <c r="G233" s="4" t="s">
        <v>49</v>
      </c>
      <c r="H233" s="4" t="s">
        <v>300</v>
      </c>
      <c r="I233" s="4"/>
    </row>
    <row r="234" customFormat="false" ht="15" hidden="false" customHeight="false" outlineLevel="0" collapsed="false">
      <c r="A234" s="4" t="s">
        <v>283</v>
      </c>
      <c r="B234" s="4" t="s">
        <v>393</v>
      </c>
      <c r="C234" s="4" t="s">
        <v>394</v>
      </c>
      <c r="D234" s="7" t="b">
        <f aca="false">TRUE()</f>
        <v>1</v>
      </c>
      <c r="E234" s="4" t="s">
        <v>224</v>
      </c>
      <c r="F234" s="11" t="s">
        <v>53</v>
      </c>
      <c r="G234" s="4" t="s">
        <v>54</v>
      </c>
      <c r="H234" s="4"/>
      <c r="I234" s="4"/>
    </row>
    <row r="235" customFormat="false" ht="15" hidden="false" customHeight="false" outlineLevel="0" collapsed="false">
      <c r="A235" s="4" t="s">
        <v>283</v>
      </c>
      <c r="B235" s="4" t="s">
        <v>393</v>
      </c>
      <c r="C235" s="4" t="s">
        <v>395</v>
      </c>
      <c r="D235" s="7" t="b">
        <f aca="false">TRUE()</f>
        <v>1</v>
      </c>
      <c r="E235" s="4" t="s">
        <v>224</v>
      </c>
      <c r="F235" s="11" t="s">
        <v>53</v>
      </c>
      <c r="G235" s="4" t="s">
        <v>54</v>
      </c>
      <c r="H235" s="4"/>
      <c r="I235" s="4"/>
    </row>
    <row r="236" customFormat="false" ht="15" hidden="false" customHeight="false" outlineLevel="0" collapsed="false">
      <c r="A236" s="4" t="s">
        <v>283</v>
      </c>
      <c r="B236" s="4" t="s">
        <v>393</v>
      </c>
      <c r="C236" s="4" t="s">
        <v>396</v>
      </c>
      <c r="D236" s="7" t="b">
        <f aca="false">TRUE()</f>
        <v>1</v>
      </c>
      <c r="E236" s="4" t="s">
        <v>224</v>
      </c>
      <c r="F236" s="13" t="s">
        <v>84</v>
      </c>
      <c r="G236" s="4" t="s">
        <v>85</v>
      </c>
      <c r="H236" s="4" t="s">
        <v>397</v>
      </c>
      <c r="I236" s="4" t="s">
        <v>398</v>
      </c>
    </row>
    <row r="237" customFormat="false" ht="15" hidden="false" customHeight="false" outlineLevel="0" collapsed="false">
      <c r="A237" s="4" t="s">
        <v>283</v>
      </c>
      <c r="B237" s="4" t="s">
        <v>393</v>
      </c>
      <c r="C237" s="4" t="s">
        <v>399</v>
      </c>
      <c r="D237" s="7" t="b">
        <f aca="false">TRUE()</f>
        <v>1</v>
      </c>
      <c r="E237" s="4" t="s">
        <v>224</v>
      </c>
      <c r="F237" s="10" t="s">
        <v>48</v>
      </c>
      <c r="G237" s="4" t="s">
        <v>49</v>
      </c>
      <c r="H237" s="4" t="s">
        <v>400</v>
      </c>
      <c r="I237" s="4"/>
    </row>
    <row r="238" customFormat="false" ht="15" hidden="false" customHeight="false" outlineLevel="0" collapsed="false">
      <c r="A238" s="4" t="s">
        <v>283</v>
      </c>
      <c r="B238" s="4" t="s">
        <v>393</v>
      </c>
      <c r="C238" s="4" t="s">
        <v>401</v>
      </c>
      <c r="D238" s="7" t="b">
        <f aca="false">TRUE()</f>
        <v>1</v>
      </c>
      <c r="E238" s="4" t="s">
        <v>224</v>
      </c>
      <c r="F238" s="10" t="s">
        <v>48</v>
      </c>
      <c r="G238" s="4" t="s">
        <v>49</v>
      </c>
      <c r="H238" s="4" t="s">
        <v>402</v>
      </c>
      <c r="I238" s="4"/>
    </row>
    <row r="239" customFormat="false" ht="15" hidden="false" customHeight="false" outlineLevel="0" collapsed="false">
      <c r="A239" s="4" t="s">
        <v>283</v>
      </c>
      <c r="B239" s="4" t="s">
        <v>393</v>
      </c>
      <c r="C239" s="4" t="s">
        <v>403</v>
      </c>
      <c r="D239" s="7" t="b">
        <f aca="false">FALSE()</f>
        <v>0</v>
      </c>
      <c r="E239" s="4" t="s">
        <v>224</v>
      </c>
      <c r="F239" s="10" t="s">
        <v>48</v>
      </c>
      <c r="G239" s="4" t="s">
        <v>49</v>
      </c>
      <c r="H239" s="4" t="s">
        <v>404</v>
      </c>
      <c r="I239" s="4" t="s">
        <v>405</v>
      </c>
    </row>
    <row r="240" customFormat="false" ht="15" hidden="false" customHeight="false" outlineLevel="0" collapsed="false">
      <c r="A240" s="4" t="s">
        <v>283</v>
      </c>
      <c r="B240" s="4" t="s">
        <v>406</v>
      </c>
      <c r="C240" s="4" t="s">
        <v>396</v>
      </c>
      <c r="D240" s="7" t="b">
        <f aca="false">TRUE()</f>
        <v>1</v>
      </c>
      <c r="E240" s="4" t="s">
        <v>407</v>
      </c>
      <c r="F240" s="12" t="s">
        <v>66</v>
      </c>
      <c r="G240" s="4" t="s">
        <v>85</v>
      </c>
      <c r="H240" s="4" t="s">
        <v>397</v>
      </c>
      <c r="I240" s="4" t="s">
        <v>398</v>
      </c>
    </row>
    <row r="241" customFormat="false" ht="15" hidden="false" customHeight="false" outlineLevel="0" collapsed="false">
      <c r="A241" s="4" t="s">
        <v>283</v>
      </c>
      <c r="B241" s="4" t="s">
        <v>406</v>
      </c>
      <c r="C241" s="4" t="s">
        <v>403</v>
      </c>
      <c r="D241" s="7" t="b">
        <f aca="false">TRUE()</f>
        <v>1</v>
      </c>
      <c r="E241" s="4" t="s">
        <v>407</v>
      </c>
      <c r="F241" s="12" t="s">
        <v>66</v>
      </c>
      <c r="G241" s="4" t="s">
        <v>49</v>
      </c>
      <c r="H241" s="4" t="s">
        <v>404</v>
      </c>
      <c r="I241" s="4" t="s">
        <v>408</v>
      </c>
    </row>
    <row r="242" customFormat="false" ht="15" hidden="false" customHeight="false" outlineLevel="0" collapsed="false">
      <c r="A242" s="4" t="s">
        <v>283</v>
      </c>
      <c r="B242" s="4" t="s">
        <v>409</v>
      </c>
      <c r="C242" s="4" t="s">
        <v>396</v>
      </c>
      <c r="D242" s="7" t="b">
        <f aca="false">TRUE()</f>
        <v>1</v>
      </c>
      <c r="E242" s="4" t="s">
        <v>407</v>
      </c>
      <c r="F242" s="12" t="s">
        <v>66</v>
      </c>
      <c r="G242" s="4" t="s">
        <v>85</v>
      </c>
      <c r="H242" s="4" t="s">
        <v>397</v>
      </c>
      <c r="I242" s="4" t="s">
        <v>398</v>
      </c>
    </row>
    <row r="243" customFormat="false" ht="15" hidden="false" customHeight="false" outlineLevel="0" collapsed="false">
      <c r="A243" s="4" t="s">
        <v>283</v>
      </c>
      <c r="B243" s="4" t="s">
        <v>409</v>
      </c>
      <c r="C243" s="4" t="s">
        <v>403</v>
      </c>
      <c r="D243" s="7" t="b">
        <f aca="false">TRUE()</f>
        <v>1</v>
      </c>
      <c r="E243" s="4" t="s">
        <v>407</v>
      </c>
      <c r="F243" s="12" t="s">
        <v>66</v>
      </c>
      <c r="G243" s="4" t="s">
        <v>49</v>
      </c>
      <c r="H243" s="4" t="s">
        <v>404</v>
      </c>
      <c r="I243" s="4" t="s">
        <v>410</v>
      </c>
    </row>
    <row r="244" customFormat="false" ht="15" hidden="false" customHeight="false" outlineLevel="0" collapsed="false">
      <c r="A244" s="4" t="s">
        <v>411</v>
      </c>
      <c r="B244" s="4" t="s">
        <v>412</v>
      </c>
      <c r="C244" s="4" t="s">
        <v>413</v>
      </c>
      <c r="D244" s="7" t="b">
        <f aca="false">TRUE()</f>
        <v>1</v>
      </c>
      <c r="E244" s="4" t="s">
        <v>44</v>
      </c>
      <c r="F244" s="8" t="s">
        <v>35</v>
      </c>
      <c r="G244" s="4" t="s">
        <v>36</v>
      </c>
      <c r="H244" s="4"/>
      <c r="I244" s="4"/>
    </row>
    <row r="245" customFormat="false" ht="15" hidden="false" customHeight="false" outlineLevel="0" collapsed="false">
      <c r="A245" s="4" t="s">
        <v>411</v>
      </c>
      <c r="B245" s="4" t="s">
        <v>414</v>
      </c>
      <c r="C245" s="4" t="s">
        <v>415</v>
      </c>
      <c r="D245" s="7" t="b">
        <f aca="false">TRUE()</f>
        <v>1</v>
      </c>
      <c r="E245" s="4" t="s">
        <v>44</v>
      </c>
      <c r="F245" s="11" t="s">
        <v>53</v>
      </c>
      <c r="G245" s="4" t="s">
        <v>54</v>
      </c>
      <c r="H245" s="4"/>
      <c r="I245" s="4" t="s">
        <v>416</v>
      </c>
    </row>
    <row r="246" customFormat="false" ht="15" hidden="false" customHeight="false" outlineLevel="0" collapsed="false">
      <c r="A246" s="4" t="s">
        <v>411</v>
      </c>
      <c r="B246" s="4" t="s">
        <v>414</v>
      </c>
      <c r="C246" s="4" t="s">
        <v>417</v>
      </c>
      <c r="D246" s="7" t="b">
        <f aca="false">TRUE()</f>
        <v>1</v>
      </c>
      <c r="E246" s="4" t="s">
        <v>44</v>
      </c>
      <c r="F246" s="11" t="s">
        <v>53</v>
      </c>
      <c r="G246" s="4" t="s">
        <v>54</v>
      </c>
      <c r="H246" s="4"/>
      <c r="I246" s="4" t="s">
        <v>418</v>
      </c>
    </row>
    <row r="247" customFormat="false" ht="15" hidden="false" customHeight="false" outlineLevel="0" collapsed="false">
      <c r="A247" s="4" t="s">
        <v>411</v>
      </c>
      <c r="B247" s="4" t="s">
        <v>414</v>
      </c>
      <c r="C247" s="4" t="s">
        <v>413</v>
      </c>
      <c r="D247" s="7" t="b">
        <f aca="false">TRUE()</f>
        <v>1</v>
      </c>
      <c r="E247" s="4" t="s">
        <v>44</v>
      </c>
      <c r="F247" s="8" t="s">
        <v>35</v>
      </c>
      <c r="G247" s="4" t="s">
        <v>36</v>
      </c>
      <c r="H247" s="4"/>
      <c r="I247" s="4"/>
    </row>
    <row r="248" customFormat="false" ht="15" hidden="false" customHeight="false" outlineLevel="0" collapsed="false">
      <c r="A248" s="4" t="s">
        <v>419</v>
      </c>
      <c r="B248" s="4" t="s">
        <v>420</v>
      </c>
      <c r="C248" s="4" t="s">
        <v>421</v>
      </c>
      <c r="D248" s="7" t="b">
        <f aca="false">TRUE()</f>
        <v>1</v>
      </c>
      <c r="E248" s="4" t="s">
        <v>44</v>
      </c>
      <c r="F248" s="8" t="s">
        <v>35</v>
      </c>
      <c r="G248" s="4" t="s">
        <v>36</v>
      </c>
      <c r="H248" s="4"/>
      <c r="I248" s="4"/>
    </row>
    <row r="249" customFormat="false" ht="15" hidden="false" customHeight="false" outlineLevel="0" collapsed="false">
      <c r="A249" s="4" t="s">
        <v>419</v>
      </c>
      <c r="B249" s="4" t="s">
        <v>422</v>
      </c>
      <c r="C249" s="4" t="s">
        <v>423</v>
      </c>
      <c r="D249" s="7" t="b">
        <f aca="false">TRUE()</f>
        <v>1</v>
      </c>
      <c r="E249" s="4" t="s">
        <v>44</v>
      </c>
      <c r="F249" s="11" t="s">
        <v>53</v>
      </c>
      <c r="G249" s="4" t="s">
        <v>54</v>
      </c>
      <c r="H249" s="4"/>
      <c r="I249" s="4" t="s">
        <v>424</v>
      </c>
    </row>
    <row r="250" customFormat="false" ht="15" hidden="false" customHeight="false" outlineLevel="0" collapsed="false">
      <c r="A250" s="4" t="s">
        <v>419</v>
      </c>
      <c r="B250" s="4" t="s">
        <v>422</v>
      </c>
      <c r="C250" s="4" t="s">
        <v>425</v>
      </c>
      <c r="D250" s="7" t="b">
        <f aca="false">TRUE()</f>
        <v>1</v>
      </c>
      <c r="E250" s="4" t="s">
        <v>44</v>
      </c>
      <c r="F250" s="8" t="s">
        <v>35</v>
      </c>
      <c r="G250" s="4" t="s">
        <v>36</v>
      </c>
      <c r="H250" s="4"/>
      <c r="I250" s="4" t="s">
        <v>426</v>
      </c>
    </row>
    <row r="251" customFormat="false" ht="15" hidden="false" customHeight="false" outlineLevel="0" collapsed="false">
      <c r="A251" s="4" t="s">
        <v>427</v>
      </c>
      <c r="B251" s="4" t="s">
        <v>427</v>
      </c>
      <c r="C251" s="4" t="s">
        <v>428</v>
      </c>
      <c r="D251" s="7" t="b">
        <f aca="false">TRUE()</f>
        <v>1</v>
      </c>
      <c r="E251" s="4" t="s">
        <v>28</v>
      </c>
      <c r="F251" s="11" t="s">
        <v>53</v>
      </c>
      <c r="G251" s="4" t="s">
        <v>54</v>
      </c>
      <c r="H251" s="4"/>
      <c r="I251" s="4"/>
    </row>
    <row r="252" customFormat="false" ht="15" hidden="false" customHeight="false" outlineLevel="0" collapsed="false">
      <c r="A252" s="4" t="s">
        <v>427</v>
      </c>
      <c r="B252" s="4" t="s">
        <v>427</v>
      </c>
      <c r="C252" s="4" t="s">
        <v>429</v>
      </c>
      <c r="D252" s="7" t="b">
        <f aca="false">TRUE()</f>
        <v>1</v>
      </c>
      <c r="E252" s="4" t="s">
        <v>28</v>
      </c>
      <c r="F252" s="11" t="s">
        <v>53</v>
      </c>
      <c r="G252" s="4" t="s">
        <v>54</v>
      </c>
      <c r="H252" s="4"/>
      <c r="I252" s="4"/>
    </row>
    <row r="253" customFormat="false" ht="15" hidden="false" customHeight="false" outlineLevel="0" collapsed="false">
      <c r="A253" s="4" t="s">
        <v>427</v>
      </c>
      <c r="B253" s="4" t="s">
        <v>427</v>
      </c>
      <c r="C253" s="4" t="s">
        <v>430</v>
      </c>
      <c r="D253" s="7" t="b">
        <f aca="false">TRUE()</f>
        <v>1</v>
      </c>
      <c r="E253" s="4" t="s">
        <v>28</v>
      </c>
      <c r="F253" s="11" t="s">
        <v>53</v>
      </c>
      <c r="G253" s="4" t="s">
        <v>54</v>
      </c>
      <c r="H253" s="4"/>
      <c r="I253" s="4"/>
    </row>
    <row r="254" customFormat="false" ht="15" hidden="false" customHeight="false" outlineLevel="0" collapsed="false">
      <c r="A254" s="4" t="s">
        <v>427</v>
      </c>
      <c r="B254" s="4" t="s">
        <v>427</v>
      </c>
      <c r="C254" s="4" t="s">
        <v>431</v>
      </c>
      <c r="D254" s="7" t="b">
        <f aca="false">TRUE()</f>
        <v>1</v>
      </c>
      <c r="E254" s="4" t="s">
        <v>28</v>
      </c>
      <c r="F254" s="8" t="s">
        <v>35</v>
      </c>
      <c r="G254" s="4" t="s">
        <v>36</v>
      </c>
      <c r="H254" s="4"/>
      <c r="I254" s="4"/>
    </row>
    <row r="255" customFormat="false" ht="15" hidden="false" customHeight="false" outlineLevel="0" collapsed="false">
      <c r="A255" s="4" t="s">
        <v>432</v>
      </c>
      <c r="B255" s="4" t="s">
        <v>432</v>
      </c>
      <c r="C255" s="4" t="s">
        <v>433</v>
      </c>
      <c r="D255" s="7" t="b">
        <f aca="false">TRUE()</f>
        <v>1</v>
      </c>
      <c r="E255" s="4" t="s">
        <v>28</v>
      </c>
      <c r="F255" s="11" t="s">
        <v>53</v>
      </c>
      <c r="G255" s="4" t="s">
        <v>54</v>
      </c>
      <c r="H255" s="4"/>
      <c r="I255" s="4" t="s">
        <v>434</v>
      </c>
    </row>
    <row r="256" customFormat="false" ht="15" hidden="false" customHeight="false" outlineLevel="0" collapsed="false">
      <c r="A256" s="4" t="s">
        <v>432</v>
      </c>
      <c r="B256" s="4" t="s">
        <v>435</v>
      </c>
      <c r="C256" s="4" t="s">
        <v>436</v>
      </c>
      <c r="D256" s="7" t="b">
        <f aca="false">TRUE()</f>
        <v>1</v>
      </c>
      <c r="E256" s="4" t="s">
        <v>44</v>
      </c>
      <c r="F256" s="11" t="s">
        <v>53</v>
      </c>
      <c r="G256" s="4" t="s">
        <v>54</v>
      </c>
      <c r="H256" s="4"/>
      <c r="I256" s="4"/>
    </row>
    <row r="257" customFormat="false" ht="15" hidden="false" customHeight="false" outlineLevel="0" collapsed="false">
      <c r="A257" s="4" t="s">
        <v>432</v>
      </c>
      <c r="B257" s="4" t="s">
        <v>435</v>
      </c>
      <c r="C257" s="4" t="s">
        <v>437</v>
      </c>
      <c r="D257" s="7" t="b">
        <f aca="false">TRUE()</f>
        <v>1</v>
      </c>
      <c r="E257" s="4" t="s">
        <v>44</v>
      </c>
      <c r="F257" s="13" t="s">
        <v>84</v>
      </c>
      <c r="G257" s="4" t="s">
        <v>85</v>
      </c>
      <c r="H257" s="4" t="s">
        <v>438</v>
      </c>
      <c r="I257" s="4"/>
    </row>
    <row r="258" customFormat="false" ht="15" hidden="false" customHeight="false" outlineLevel="0" collapsed="false">
      <c r="A258" s="4" t="s">
        <v>432</v>
      </c>
      <c r="B258" s="4" t="s">
        <v>435</v>
      </c>
      <c r="C258" s="4" t="s">
        <v>439</v>
      </c>
      <c r="D258" s="7" t="b">
        <f aca="false">TRUE()</f>
        <v>1</v>
      </c>
      <c r="E258" s="4" t="s">
        <v>44</v>
      </c>
      <c r="F258" s="8" t="s">
        <v>35</v>
      </c>
      <c r="G258" s="4" t="s">
        <v>36</v>
      </c>
      <c r="H258" s="4"/>
      <c r="I258" s="4"/>
    </row>
    <row r="259" customFormat="false" ht="15" hidden="false" customHeight="false" outlineLevel="0" collapsed="false">
      <c r="A259" s="4" t="s">
        <v>432</v>
      </c>
      <c r="B259" s="4" t="s">
        <v>435</v>
      </c>
      <c r="C259" s="4" t="s">
        <v>440</v>
      </c>
      <c r="D259" s="7" t="b">
        <f aca="false">TRUE()</f>
        <v>1</v>
      </c>
      <c r="E259" s="4" t="s">
        <v>44</v>
      </c>
      <c r="F259" s="8" t="s">
        <v>35</v>
      </c>
      <c r="G259" s="4" t="s">
        <v>36</v>
      </c>
      <c r="H259" s="4"/>
      <c r="I259" s="4"/>
    </row>
    <row r="260" customFormat="false" ht="15" hidden="false" customHeight="false" outlineLevel="0" collapsed="false">
      <c r="A260" s="4" t="s">
        <v>432</v>
      </c>
      <c r="B260" s="4" t="s">
        <v>435</v>
      </c>
      <c r="C260" s="4" t="s">
        <v>441</v>
      </c>
      <c r="D260" s="7" t="b">
        <f aca="false">TRUE()</f>
        <v>1</v>
      </c>
      <c r="E260" s="4" t="s">
        <v>44</v>
      </c>
      <c r="F260" s="8" t="s">
        <v>35</v>
      </c>
      <c r="G260" s="4" t="s">
        <v>36</v>
      </c>
      <c r="H260" s="4"/>
      <c r="I260" s="4"/>
    </row>
    <row r="261" customFormat="false" ht="15" hidden="false" customHeight="false" outlineLevel="0" collapsed="false">
      <c r="A261" s="4" t="s">
        <v>432</v>
      </c>
      <c r="B261" s="4" t="s">
        <v>435</v>
      </c>
      <c r="C261" s="4" t="s">
        <v>442</v>
      </c>
      <c r="D261" s="7" t="b">
        <f aca="false">TRUE()</f>
        <v>1</v>
      </c>
      <c r="E261" s="4" t="s">
        <v>44</v>
      </c>
      <c r="F261" s="8" t="s">
        <v>35</v>
      </c>
      <c r="G261" s="4" t="s">
        <v>36</v>
      </c>
      <c r="H261" s="4"/>
      <c r="I261" s="4"/>
    </row>
    <row r="262" customFormat="false" ht="15" hidden="false" customHeight="false" outlineLevel="0" collapsed="false">
      <c r="A262" s="4" t="s">
        <v>432</v>
      </c>
      <c r="B262" s="4" t="s">
        <v>435</v>
      </c>
      <c r="C262" s="4" t="s">
        <v>443</v>
      </c>
      <c r="D262" s="7" t="b">
        <f aca="false">FALSE()</f>
        <v>0</v>
      </c>
      <c r="E262" s="4" t="s">
        <v>44</v>
      </c>
      <c r="F262" s="8" t="s">
        <v>35</v>
      </c>
      <c r="G262" s="4" t="s">
        <v>36</v>
      </c>
      <c r="H262" s="4"/>
      <c r="I262" s="4"/>
    </row>
    <row r="263" customFormat="false" ht="15" hidden="false" customHeight="false" outlineLevel="0" collapsed="false">
      <c r="A263" s="4" t="s">
        <v>432</v>
      </c>
      <c r="B263" s="4" t="s">
        <v>435</v>
      </c>
      <c r="C263" s="4" t="s">
        <v>127</v>
      </c>
      <c r="D263" s="7" t="b">
        <f aca="false">TRUE()</f>
        <v>1</v>
      </c>
      <c r="E263" s="4" t="s">
        <v>44</v>
      </c>
      <c r="F263" s="8" t="s">
        <v>35</v>
      </c>
      <c r="G263" s="4" t="s">
        <v>36</v>
      </c>
      <c r="H263" s="4"/>
      <c r="I263" s="4"/>
    </row>
    <row r="264" customFormat="false" ht="15" hidden="false" customHeight="false" outlineLevel="0" collapsed="false">
      <c r="A264" s="4" t="s">
        <v>432</v>
      </c>
      <c r="B264" s="4" t="s">
        <v>435</v>
      </c>
      <c r="C264" s="4" t="s">
        <v>444</v>
      </c>
      <c r="D264" s="7" t="b">
        <f aca="false">TRUE()</f>
        <v>1</v>
      </c>
      <c r="E264" s="4" t="s">
        <v>44</v>
      </c>
      <c r="F264" s="11" t="s">
        <v>53</v>
      </c>
      <c r="G264" s="4" t="s">
        <v>54</v>
      </c>
      <c r="H264" s="4"/>
      <c r="I264" s="4"/>
    </row>
    <row r="265" customFormat="false" ht="15" hidden="false" customHeight="false" outlineLevel="0" collapsed="false">
      <c r="A265" s="4" t="s">
        <v>432</v>
      </c>
      <c r="B265" s="4" t="s">
        <v>445</v>
      </c>
      <c r="C265" s="4" t="s">
        <v>446</v>
      </c>
      <c r="D265" s="7" t="b">
        <f aca="false">TRUE()</f>
        <v>1</v>
      </c>
      <c r="E265" s="4" t="s">
        <v>407</v>
      </c>
      <c r="F265" s="12" t="s">
        <v>66</v>
      </c>
      <c r="G265" s="4" t="s">
        <v>49</v>
      </c>
      <c r="H265" s="4" t="s">
        <v>447</v>
      </c>
      <c r="I265" s="4"/>
    </row>
    <row r="266" customFormat="false" ht="15" hidden="false" customHeight="false" outlineLevel="0" collapsed="false">
      <c r="A266" s="4" t="s">
        <v>432</v>
      </c>
      <c r="B266" s="4" t="s">
        <v>448</v>
      </c>
      <c r="C266" s="4" t="s">
        <v>449</v>
      </c>
      <c r="D266" s="7" t="b">
        <f aca="false">TRUE()</f>
        <v>1</v>
      </c>
      <c r="E266" s="4" t="s">
        <v>407</v>
      </c>
      <c r="F266" s="12" t="s">
        <v>66</v>
      </c>
      <c r="G266" s="4" t="s">
        <v>49</v>
      </c>
      <c r="H266" s="4" t="s">
        <v>450</v>
      </c>
      <c r="I266" s="4"/>
    </row>
    <row r="267" customFormat="false" ht="15" hidden="false" customHeight="false" outlineLevel="0" collapsed="false">
      <c r="A267" s="4" t="s">
        <v>432</v>
      </c>
      <c r="B267" s="4" t="s">
        <v>451</v>
      </c>
      <c r="C267" s="4" t="s">
        <v>452</v>
      </c>
      <c r="D267" s="7" t="b">
        <f aca="false">FALSE()</f>
        <v>0</v>
      </c>
      <c r="E267" s="4" t="s">
        <v>224</v>
      </c>
      <c r="F267" s="10" t="s">
        <v>48</v>
      </c>
      <c r="G267" s="4" t="s">
        <v>49</v>
      </c>
      <c r="H267" s="4" t="s">
        <v>453</v>
      </c>
      <c r="I267" s="4"/>
    </row>
    <row r="268" customFormat="false" ht="15" hidden="false" customHeight="false" outlineLevel="0" collapsed="false">
      <c r="A268" s="4" t="s">
        <v>432</v>
      </c>
      <c r="B268" s="4" t="s">
        <v>451</v>
      </c>
      <c r="C268" s="4" t="s">
        <v>454</v>
      </c>
      <c r="D268" s="7" t="b">
        <f aca="false">FALSE()</f>
        <v>0</v>
      </c>
      <c r="E268" s="4" t="s">
        <v>224</v>
      </c>
      <c r="F268" s="10" t="s">
        <v>48</v>
      </c>
      <c r="G268" s="4" t="s">
        <v>49</v>
      </c>
      <c r="H268" s="4" t="s">
        <v>455</v>
      </c>
      <c r="I268" s="4"/>
    </row>
    <row r="269" customFormat="false" ht="15" hidden="false" customHeight="false" outlineLevel="0" collapsed="false">
      <c r="A269" s="4" t="s">
        <v>432</v>
      </c>
      <c r="B269" s="4" t="s">
        <v>456</v>
      </c>
      <c r="C269" s="4" t="s">
        <v>457</v>
      </c>
      <c r="D269" s="7" t="b">
        <f aca="false">TRUE()</f>
        <v>1</v>
      </c>
      <c r="E269" s="4" t="s">
        <v>224</v>
      </c>
      <c r="F269" s="10" t="s">
        <v>48</v>
      </c>
      <c r="G269" s="4" t="s">
        <v>49</v>
      </c>
      <c r="H269" s="4" t="s">
        <v>450</v>
      </c>
      <c r="I269" s="4"/>
    </row>
    <row r="270" customFormat="false" ht="15" hidden="false" customHeight="false" outlineLevel="0" collapsed="false">
      <c r="A270" s="4" t="s">
        <v>432</v>
      </c>
      <c r="B270" s="4" t="s">
        <v>456</v>
      </c>
      <c r="C270" s="4" t="s">
        <v>458</v>
      </c>
      <c r="D270" s="7" t="b">
        <f aca="false">TRUE()</f>
        <v>1</v>
      </c>
      <c r="E270" s="4" t="s">
        <v>224</v>
      </c>
      <c r="F270" s="10" t="s">
        <v>48</v>
      </c>
      <c r="G270" s="4" t="s">
        <v>49</v>
      </c>
      <c r="H270" s="4" t="s">
        <v>450</v>
      </c>
      <c r="I270" s="4"/>
    </row>
    <row r="271" customFormat="false" ht="15" hidden="false" customHeight="false" outlineLevel="0" collapsed="false">
      <c r="A271" s="4" t="s">
        <v>432</v>
      </c>
      <c r="B271" s="4" t="s">
        <v>456</v>
      </c>
      <c r="C271" s="4" t="s">
        <v>459</v>
      </c>
      <c r="D271" s="7" t="b">
        <f aca="false">TRUE()</f>
        <v>1</v>
      </c>
      <c r="E271" s="4" t="s">
        <v>224</v>
      </c>
      <c r="F271" s="10" t="s">
        <v>48</v>
      </c>
      <c r="G271" s="4" t="s">
        <v>49</v>
      </c>
      <c r="H271" s="4" t="s">
        <v>450</v>
      </c>
      <c r="I271" s="4"/>
    </row>
    <row r="272" customFormat="false" ht="15" hidden="false" customHeight="false" outlineLevel="0" collapsed="false">
      <c r="A272" s="4" t="s">
        <v>432</v>
      </c>
      <c r="B272" s="4" t="s">
        <v>460</v>
      </c>
      <c r="C272" s="4" t="s">
        <v>461</v>
      </c>
      <c r="D272" s="7" t="b">
        <f aca="false">TRUE()</f>
        <v>1</v>
      </c>
      <c r="E272" s="4" t="s">
        <v>407</v>
      </c>
      <c r="F272" s="12" t="s">
        <v>66</v>
      </c>
      <c r="G272" s="4" t="s">
        <v>54</v>
      </c>
      <c r="H272" s="4"/>
      <c r="I272" s="4" t="s">
        <v>462</v>
      </c>
    </row>
    <row r="273" customFormat="false" ht="15" hidden="false" customHeight="false" outlineLevel="0" collapsed="false">
      <c r="A273" s="4" t="s">
        <v>432</v>
      </c>
      <c r="B273" s="4" t="s">
        <v>460</v>
      </c>
      <c r="C273" s="4" t="s">
        <v>463</v>
      </c>
      <c r="D273" s="7" t="b">
        <f aca="false">FALSE()</f>
        <v>0</v>
      </c>
      <c r="E273" s="4" t="s">
        <v>407</v>
      </c>
      <c r="F273" s="12" t="s">
        <v>66</v>
      </c>
      <c r="G273" s="4" t="s">
        <v>54</v>
      </c>
      <c r="H273" s="4"/>
      <c r="I273" s="4" t="s">
        <v>464</v>
      </c>
    </row>
    <row r="274" customFormat="false" ht="15" hidden="false" customHeight="false" outlineLevel="0" collapsed="false">
      <c r="A274" s="4" t="s">
        <v>432</v>
      </c>
      <c r="B274" s="4" t="s">
        <v>460</v>
      </c>
      <c r="C274" s="4" t="s">
        <v>465</v>
      </c>
      <c r="D274" s="7" t="b">
        <f aca="false">FALSE()</f>
        <v>0</v>
      </c>
      <c r="E274" s="4" t="s">
        <v>407</v>
      </c>
      <c r="F274" s="12" t="s">
        <v>66</v>
      </c>
      <c r="G274" s="4" t="s">
        <v>49</v>
      </c>
      <c r="H274" s="4" t="s">
        <v>466</v>
      </c>
      <c r="I274" s="4"/>
    </row>
    <row r="275" customFormat="false" ht="15" hidden="false" customHeight="false" outlineLevel="0" collapsed="false">
      <c r="A275" s="4" t="s">
        <v>432</v>
      </c>
      <c r="B275" s="4" t="s">
        <v>460</v>
      </c>
      <c r="C275" s="4" t="s">
        <v>465</v>
      </c>
      <c r="D275" s="7" t="b">
        <f aca="false">TRUE()</f>
        <v>1</v>
      </c>
      <c r="E275" s="4" t="s">
        <v>407</v>
      </c>
      <c r="F275" s="12" t="s">
        <v>66</v>
      </c>
      <c r="G275" s="4" t="s">
        <v>49</v>
      </c>
      <c r="H275" s="4" t="s">
        <v>466</v>
      </c>
      <c r="I275" s="4"/>
    </row>
    <row r="276" customFormat="false" ht="15" hidden="false" customHeight="false" outlineLevel="0" collapsed="false">
      <c r="A276" s="4" t="s">
        <v>432</v>
      </c>
      <c r="B276" s="4" t="s">
        <v>467</v>
      </c>
      <c r="C276" s="4" t="s">
        <v>468</v>
      </c>
      <c r="D276" s="7" t="b">
        <f aca="false">TRUE()</f>
        <v>1</v>
      </c>
      <c r="E276" s="4" t="s">
        <v>44</v>
      </c>
      <c r="F276" s="11" t="s">
        <v>53</v>
      </c>
      <c r="G276" s="4" t="s">
        <v>54</v>
      </c>
      <c r="H276" s="4"/>
      <c r="I276" s="4" t="s">
        <v>469</v>
      </c>
    </row>
    <row r="277" customFormat="false" ht="15" hidden="false" customHeight="false" outlineLevel="0" collapsed="false">
      <c r="A277" s="4" t="s">
        <v>432</v>
      </c>
      <c r="B277" s="4" t="s">
        <v>467</v>
      </c>
      <c r="C277" s="4" t="s">
        <v>470</v>
      </c>
      <c r="D277" s="7" t="b">
        <f aca="false">TRUE()</f>
        <v>1</v>
      </c>
      <c r="E277" s="4" t="s">
        <v>44</v>
      </c>
      <c r="F277" s="10" t="s">
        <v>48</v>
      </c>
      <c r="G277" s="4" t="s">
        <v>49</v>
      </c>
      <c r="H277" s="4" t="s">
        <v>471</v>
      </c>
      <c r="I277" s="4"/>
    </row>
    <row r="278" customFormat="false" ht="15" hidden="false" customHeight="false" outlineLevel="0" collapsed="false">
      <c r="A278" s="4" t="s">
        <v>432</v>
      </c>
      <c r="B278" s="4" t="s">
        <v>472</v>
      </c>
      <c r="C278" s="4" t="s">
        <v>473</v>
      </c>
      <c r="D278" s="7" t="b">
        <f aca="false">TRUE()</f>
        <v>1</v>
      </c>
      <c r="E278" s="4" t="s">
        <v>224</v>
      </c>
      <c r="F278" s="8" t="s">
        <v>35</v>
      </c>
      <c r="G278" s="4" t="s">
        <v>36</v>
      </c>
      <c r="H278" s="4"/>
      <c r="I278" s="4"/>
    </row>
    <row r="279" customFormat="false" ht="15" hidden="false" customHeight="false" outlineLevel="0" collapsed="false">
      <c r="A279" s="4" t="s">
        <v>432</v>
      </c>
      <c r="B279" s="4" t="s">
        <v>472</v>
      </c>
      <c r="C279" s="4" t="s">
        <v>474</v>
      </c>
      <c r="D279" s="7" t="b">
        <f aca="false">TRUE()</f>
        <v>1</v>
      </c>
      <c r="E279" s="4" t="s">
        <v>224</v>
      </c>
      <c r="F279" s="8" t="s">
        <v>35</v>
      </c>
      <c r="G279" s="4" t="s">
        <v>36</v>
      </c>
      <c r="H279" s="4"/>
      <c r="I279" s="4" t="s">
        <v>475</v>
      </c>
    </row>
    <row r="280" customFormat="false" ht="15" hidden="false" customHeight="false" outlineLevel="0" collapsed="false">
      <c r="A280" s="4" t="s">
        <v>432</v>
      </c>
      <c r="B280" s="4" t="s">
        <v>472</v>
      </c>
      <c r="C280" s="4" t="s">
        <v>476</v>
      </c>
      <c r="D280" s="7" t="b">
        <f aca="false">TRUE()</f>
        <v>1</v>
      </c>
      <c r="E280" s="4" t="s">
        <v>224</v>
      </c>
      <c r="F280" s="4" t="s">
        <v>384</v>
      </c>
      <c r="G280" s="4" t="s">
        <v>385</v>
      </c>
      <c r="H280" s="4"/>
      <c r="I280" s="4"/>
    </row>
    <row r="281" customFormat="false" ht="15" hidden="false" customHeight="false" outlineLevel="0" collapsed="false">
      <c r="A281" s="4" t="s">
        <v>432</v>
      </c>
      <c r="B281" s="4" t="s">
        <v>472</v>
      </c>
      <c r="C281" s="4" t="s">
        <v>477</v>
      </c>
      <c r="D281" s="7" t="b">
        <f aca="false">TRUE()</f>
        <v>1</v>
      </c>
      <c r="E281" s="4" t="s">
        <v>224</v>
      </c>
      <c r="F281" s="4" t="s">
        <v>384</v>
      </c>
      <c r="G281" s="4" t="s">
        <v>385</v>
      </c>
      <c r="H281" s="4"/>
      <c r="I281" s="4"/>
    </row>
    <row r="282" customFormat="false" ht="15" hidden="false" customHeight="false" outlineLevel="0" collapsed="false">
      <c r="A282" s="4" t="s">
        <v>432</v>
      </c>
      <c r="B282" s="4" t="s">
        <v>472</v>
      </c>
      <c r="C282" s="4" t="s">
        <v>478</v>
      </c>
      <c r="D282" s="7" t="b">
        <f aca="false">TRUE()</f>
        <v>1</v>
      </c>
      <c r="E282" s="4" t="s">
        <v>224</v>
      </c>
      <c r="F282" s="4" t="s">
        <v>384</v>
      </c>
      <c r="G282" s="4" t="s">
        <v>385</v>
      </c>
      <c r="H282" s="4"/>
      <c r="I282" s="4"/>
    </row>
    <row r="283" customFormat="false" ht="15" hidden="false" customHeight="false" outlineLevel="0" collapsed="false">
      <c r="A283" s="4" t="s">
        <v>432</v>
      </c>
      <c r="B283" s="4" t="s">
        <v>479</v>
      </c>
      <c r="C283" s="4" t="s">
        <v>480</v>
      </c>
      <c r="D283" s="7" t="b">
        <f aca="false">TRUE()</f>
        <v>1</v>
      </c>
      <c r="E283" s="4" t="s">
        <v>224</v>
      </c>
      <c r="F283" s="11" t="s">
        <v>53</v>
      </c>
      <c r="G283" s="4" t="s">
        <v>54</v>
      </c>
      <c r="H283" s="4"/>
      <c r="I283" s="4"/>
    </row>
    <row r="284" customFormat="false" ht="15" hidden="false" customHeight="false" outlineLevel="0" collapsed="false">
      <c r="A284" s="4" t="s">
        <v>432</v>
      </c>
      <c r="B284" s="4" t="s">
        <v>481</v>
      </c>
      <c r="C284" s="4" t="s">
        <v>436</v>
      </c>
      <c r="D284" s="7" t="b">
        <f aca="false">TRUE()</f>
        <v>1</v>
      </c>
      <c r="E284" s="4" t="s">
        <v>113</v>
      </c>
      <c r="F284" s="11" t="s">
        <v>53</v>
      </c>
      <c r="G284" s="4" t="s">
        <v>54</v>
      </c>
      <c r="H284" s="4"/>
      <c r="I284" s="4"/>
    </row>
    <row r="285" customFormat="false" ht="15" hidden="false" customHeight="false" outlineLevel="0" collapsed="false">
      <c r="A285" s="4" t="s">
        <v>432</v>
      </c>
      <c r="B285" s="4" t="s">
        <v>481</v>
      </c>
      <c r="C285" s="4" t="s">
        <v>482</v>
      </c>
      <c r="D285" s="7" t="b">
        <f aca="false">FALSE()</f>
        <v>0</v>
      </c>
      <c r="E285" s="4" t="s">
        <v>113</v>
      </c>
      <c r="F285" s="10" t="s">
        <v>48</v>
      </c>
      <c r="G285" s="4" t="s">
        <v>49</v>
      </c>
      <c r="H285" s="4" t="s">
        <v>300</v>
      </c>
      <c r="I285" s="4"/>
    </row>
    <row r="286" customFormat="false" ht="15" hidden="false" customHeight="false" outlineLevel="0" collapsed="false">
      <c r="A286" s="4" t="s">
        <v>432</v>
      </c>
      <c r="B286" s="4" t="s">
        <v>481</v>
      </c>
      <c r="C286" s="4" t="s">
        <v>483</v>
      </c>
      <c r="D286" s="7" t="b">
        <f aca="false">TRUE()</f>
        <v>1</v>
      </c>
      <c r="E286" s="4" t="s">
        <v>113</v>
      </c>
      <c r="F286" s="11" t="s">
        <v>53</v>
      </c>
      <c r="G286" s="4" t="s">
        <v>54</v>
      </c>
      <c r="H286" s="4"/>
      <c r="I286" s="4"/>
    </row>
    <row r="287" customFormat="false" ht="15" hidden="false" customHeight="false" outlineLevel="0" collapsed="false">
      <c r="A287" s="4" t="s">
        <v>432</v>
      </c>
      <c r="B287" s="4" t="s">
        <v>481</v>
      </c>
      <c r="C287" s="4" t="s">
        <v>484</v>
      </c>
      <c r="D287" s="7" t="b">
        <f aca="false">TRUE()</f>
        <v>1</v>
      </c>
      <c r="E287" s="4" t="s">
        <v>113</v>
      </c>
      <c r="F287" s="11" t="s">
        <v>53</v>
      </c>
      <c r="G287" s="4" t="s">
        <v>54</v>
      </c>
      <c r="H287" s="4"/>
      <c r="I287" s="4"/>
    </row>
    <row r="288" customFormat="false" ht="15" hidden="false" customHeight="false" outlineLevel="0" collapsed="false">
      <c r="A288" s="4" t="s">
        <v>432</v>
      </c>
      <c r="B288" s="4" t="s">
        <v>481</v>
      </c>
      <c r="C288" s="4" t="s">
        <v>485</v>
      </c>
      <c r="D288" s="7" t="b">
        <f aca="false">TRUE()</f>
        <v>1</v>
      </c>
      <c r="E288" s="4" t="s">
        <v>113</v>
      </c>
      <c r="F288" s="13" t="s">
        <v>84</v>
      </c>
      <c r="G288" s="4" t="s">
        <v>85</v>
      </c>
      <c r="H288" s="4" t="s">
        <v>438</v>
      </c>
      <c r="I288" s="4"/>
    </row>
    <row r="289" customFormat="false" ht="15" hidden="false" customHeight="false" outlineLevel="0" collapsed="false">
      <c r="A289" s="4" t="s">
        <v>432</v>
      </c>
      <c r="B289" s="4" t="s">
        <v>481</v>
      </c>
      <c r="C289" s="4" t="s">
        <v>486</v>
      </c>
      <c r="D289" s="7" t="b">
        <f aca="false">TRUE()</f>
        <v>1</v>
      </c>
      <c r="E289" s="4" t="s">
        <v>113</v>
      </c>
      <c r="F289" s="4" t="s">
        <v>29</v>
      </c>
      <c r="G289" s="4" t="s">
        <v>30</v>
      </c>
      <c r="H289" s="4"/>
      <c r="I289" s="4"/>
    </row>
    <row r="290" customFormat="false" ht="15" hidden="false" customHeight="false" outlineLevel="0" collapsed="false">
      <c r="A290" s="4" t="s">
        <v>432</v>
      </c>
      <c r="B290" s="4" t="s">
        <v>481</v>
      </c>
      <c r="C290" s="4" t="s">
        <v>487</v>
      </c>
      <c r="D290" s="7" t="b">
        <f aca="false">TRUE()</f>
        <v>1</v>
      </c>
      <c r="E290" s="4" t="s">
        <v>113</v>
      </c>
      <c r="F290" s="11" t="s">
        <v>53</v>
      </c>
      <c r="G290" s="4" t="s">
        <v>54</v>
      </c>
      <c r="H290" s="4"/>
      <c r="I290" s="4"/>
    </row>
    <row r="291" customFormat="false" ht="15" hidden="false" customHeight="false" outlineLevel="0" collapsed="false">
      <c r="A291" s="4" t="s">
        <v>432</v>
      </c>
      <c r="B291" s="4" t="s">
        <v>481</v>
      </c>
      <c r="C291" s="4" t="s">
        <v>488</v>
      </c>
      <c r="D291" s="7" t="b">
        <f aca="false">TRUE()</f>
        <v>1</v>
      </c>
      <c r="E291" s="4" t="s">
        <v>113</v>
      </c>
      <c r="F291" s="10" t="s">
        <v>48</v>
      </c>
      <c r="G291" s="4" t="s">
        <v>49</v>
      </c>
      <c r="H291" s="4" t="s">
        <v>489</v>
      </c>
      <c r="I291" s="4"/>
    </row>
    <row r="292" customFormat="false" ht="15" hidden="false" customHeight="false" outlineLevel="0" collapsed="false">
      <c r="A292" s="4" t="s">
        <v>432</v>
      </c>
      <c r="B292" s="4" t="s">
        <v>490</v>
      </c>
      <c r="C292" s="4" t="s">
        <v>473</v>
      </c>
      <c r="D292" s="7" t="b">
        <f aca="false">TRUE()</f>
        <v>1</v>
      </c>
      <c r="E292" s="4" t="s">
        <v>113</v>
      </c>
      <c r="F292" s="8" t="s">
        <v>35</v>
      </c>
      <c r="G292" s="4" t="s">
        <v>36</v>
      </c>
      <c r="H292" s="4"/>
      <c r="I292" s="4"/>
    </row>
    <row r="293" customFormat="false" ht="15" hidden="false" customHeight="false" outlineLevel="0" collapsed="false">
      <c r="A293" s="4" t="s">
        <v>432</v>
      </c>
      <c r="B293" s="4" t="s">
        <v>490</v>
      </c>
      <c r="C293" s="4" t="s">
        <v>474</v>
      </c>
      <c r="D293" s="7" t="b">
        <f aca="false">TRUE()</f>
        <v>1</v>
      </c>
      <c r="E293" s="4" t="s">
        <v>113</v>
      </c>
      <c r="F293" s="8" t="s">
        <v>35</v>
      </c>
      <c r="G293" s="4" t="s">
        <v>36</v>
      </c>
      <c r="H293" s="4"/>
      <c r="I293" s="4" t="s">
        <v>475</v>
      </c>
    </row>
    <row r="294" customFormat="false" ht="15" hidden="false" customHeight="false" outlineLevel="0" collapsed="false">
      <c r="A294" s="4" t="s">
        <v>432</v>
      </c>
      <c r="B294" s="4" t="s">
        <v>490</v>
      </c>
      <c r="C294" s="4" t="s">
        <v>491</v>
      </c>
      <c r="D294" s="7" t="b">
        <f aca="false">TRUE()</f>
        <v>1</v>
      </c>
      <c r="E294" s="4" t="s">
        <v>113</v>
      </c>
      <c r="F294" s="4" t="s">
        <v>384</v>
      </c>
      <c r="G294" s="4" t="s">
        <v>385</v>
      </c>
      <c r="H294" s="4"/>
      <c r="I294" s="4"/>
    </row>
    <row r="295" customFormat="false" ht="15" hidden="false" customHeight="false" outlineLevel="0" collapsed="false">
      <c r="A295" s="4" t="s">
        <v>432</v>
      </c>
      <c r="B295" s="4" t="s">
        <v>490</v>
      </c>
      <c r="C295" s="4" t="s">
        <v>492</v>
      </c>
      <c r="D295" s="7" t="b">
        <f aca="false">TRUE()</f>
        <v>1</v>
      </c>
      <c r="E295" s="4" t="s">
        <v>113</v>
      </c>
      <c r="F295" s="4" t="s">
        <v>384</v>
      </c>
      <c r="G295" s="4" t="s">
        <v>385</v>
      </c>
      <c r="H295" s="4"/>
      <c r="I295" s="4"/>
    </row>
    <row r="296" customFormat="false" ht="15" hidden="false" customHeight="false" outlineLevel="0" collapsed="false">
      <c r="A296" s="4" t="s">
        <v>432</v>
      </c>
      <c r="B296" s="4" t="s">
        <v>493</v>
      </c>
      <c r="C296" s="4" t="s">
        <v>468</v>
      </c>
      <c r="D296" s="7" t="b">
        <f aca="false">TRUE()</f>
        <v>1</v>
      </c>
      <c r="E296" s="4" t="s">
        <v>44</v>
      </c>
      <c r="F296" s="11" t="s">
        <v>53</v>
      </c>
      <c r="G296" s="4" t="s">
        <v>54</v>
      </c>
      <c r="H296" s="4"/>
      <c r="I296" s="4" t="s">
        <v>469</v>
      </c>
    </row>
    <row r="297" customFormat="false" ht="15" hidden="false" customHeight="false" outlineLevel="0" collapsed="false">
      <c r="A297" s="4" t="s">
        <v>432</v>
      </c>
      <c r="B297" s="4" t="s">
        <v>493</v>
      </c>
      <c r="C297" s="4" t="s">
        <v>494</v>
      </c>
      <c r="D297" s="7" t="b">
        <f aca="false">TRUE()</f>
        <v>1</v>
      </c>
      <c r="E297" s="4" t="s">
        <v>44</v>
      </c>
      <c r="F297" s="10" t="s">
        <v>48</v>
      </c>
      <c r="G297" s="4" t="s">
        <v>49</v>
      </c>
      <c r="H297" s="4" t="s">
        <v>495</v>
      </c>
      <c r="I297" s="4"/>
    </row>
    <row r="298" customFormat="false" ht="15" hidden="false" customHeight="false" outlineLevel="0" collapsed="false">
      <c r="A298" s="4" t="s">
        <v>432</v>
      </c>
      <c r="B298" s="4" t="s">
        <v>496</v>
      </c>
      <c r="C298" s="4" t="s">
        <v>485</v>
      </c>
      <c r="D298" s="7" t="b">
        <f aca="false">TRUE()</f>
        <v>1</v>
      </c>
      <c r="E298" s="4" t="s">
        <v>224</v>
      </c>
      <c r="F298" s="13" t="s">
        <v>84</v>
      </c>
      <c r="G298" s="4" t="s">
        <v>85</v>
      </c>
      <c r="H298" s="4" t="s">
        <v>438</v>
      </c>
      <c r="I298" s="4"/>
    </row>
    <row r="299" customFormat="false" ht="15" hidden="false" customHeight="false" outlineLevel="0" collapsed="false">
      <c r="A299" s="4" t="s">
        <v>432</v>
      </c>
      <c r="B299" s="4" t="s">
        <v>496</v>
      </c>
      <c r="C299" s="4" t="s">
        <v>497</v>
      </c>
      <c r="D299" s="7" t="b">
        <f aca="false">TRUE()</f>
        <v>1</v>
      </c>
      <c r="E299" s="4" t="s">
        <v>224</v>
      </c>
      <c r="F299" s="11" t="s">
        <v>53</v>
      </c>
      <c r="G299" s="4" t="s">
        <v>54</v>
      </c>
      <c r="H299" s="4"/>
      <c r="I299" s="4"/>
    </row>
    <row r="300" customFormat="false" ht="15" hidden="false" customHeight="false" outlineLevel="0" collapsed="false">
      <c r="A300" s="4" t="s">
        <v>432</v>
      </c>
      <c r="B300" s="4" t="s">
        <v>496</v>
      </c>
      <c r="C300" s="4" t="s">
        <v>498</v>
      </c>
      <c r="D300" s="7" t="b">
        <f aca="false">TRUE()</f>
        <v>1</v>
      </c>
      <c r="E300" s="4" t="s">
        <v>224</v>
      </c>
      <c r="F300" s="10" t="s">
        <v>48</v>
      </c>
      <c r="G300" s="4" t="s">
        <v>49</v>
      </c>
      <c r="H300" s="4" t="s">
        <v>495</v>
      </c>
      <c r="I300" s="4"/>
    </row>
    <row r="301" customFormat="false" ht="15" hidden="false" customHeight="false" outlineLevel="0" collapsed="false">
      <c r="A301" s="4" t="s">
        <v>432</v>
      </c>
      <c r="B301" s="4" t="s">
        <v>499</v>
      </c>
      <c r="C301" s="4" t="s">
        <v>500</v>
      </c>
      <c r="D301" s="7" t="b">
        <f aca="false">FALSE()</f>
        <v>0</v>
      </c>
      <c r="E301" s="4" t="s">
        <v>44</v>
      </c>
      <c r="F301" s="13" t="s">
        <v>84</v>
      </c>
      <c r="G301" s="4" t="s">
        <v>85</v>
      </c>
      <c r="H301" s="4" t="s">
        <v>438</v>
      </c>
      <c r="I301" s="4"/>
    </row>
    <row r="302" customFormat="false" ht="15" hidden="false" customHeight="false" outlineLevel="0" collapsed="false">
      <c r="A302" s="4" t="s">
        <v>432</v>
      </c>
      <c r="B302" s="4" t="s">
        <v>499</v>
      </c>
      <c r="C302" s="4" t="s">
        <v>501</v>
      </c>
      <c r="D302" s="7" t="b">
        <f aca="false">TRUE()</f>
        <v>1</v>
      </c>
      <c r="E302" s="4" t="s">
        <v>44</v>
      </c>
      <c r="F302" s="10" t="s">
        <v>48</v>
      </c>
      <c r="G302" s="4" t="s">
        <v>49</v>
      </c>
      <c r="H302" s="4" t="s">
        <v>300</v>
      </c>
      <c r="I302" s="4"/>
    </row>
    <row r="303" customFormat="false" ht="15" hidden="false" customHeight="false" outlineLevel="0" collapsed="false">
      <c r="A303" s="4" t="s">
        <v>432</v>
      </c>
      <c r="B303" s="4" t="s">
        <v>499</v>
      </c>
      <c r="C303" s="4" t="s">
        <v>502</v>
      </c>
      <c r="D303" s="7" t="b">
        <f aca="false">TRUE()</f>
        <v>1</v>
      </c>
      <c r="E303" s="4" t="s">
        <v>44</v>
      </c>
      <c r="F303" s="11" t="s">
        <v>53</v>
      </c>
      <c r="G303" s="4" t="s">
        <v>54</v>
      </c>
      <c r="H303" s="4"/>
      <c r="I303" s="4"/>
    </row>
    <row r="304" customFormat="false" ht="15" hidden="false" customHeight="false" outlineLevel="0" collapsed="false">
      <c r="A304" s="4" t="s">
        <v>432</v>
      </c>
      <c r="B304" s="4" t="s">
        <v>499</v>
      </c>
      <c r="C304" s="4" t="s">
        <v>503</v>
      </c>
      <c r="D304" s="7" t="b">
        <f aca="false">TRUE()</f>
        <v>1</v>
      </c>
      <c r="E304" s="4" t="s">
        <v>44</v>
      </c>
      <c r="F304" s="10" t="s">
        <v>48</v>
      </c>
      <c r="G304" s="4" t="s">
        <v>49</v>
      </c>
      <c r="H304" s="4" t="s">
        <v>504</v>
      </c>
      <c r="I304" s="4"/>
    </row>
    <row r="305" customFormat="false" ht="15" hidden="false" customHeight="false" outlineLevel="0" collapsed="false">
      <c r="A305" s="4" t="s">
        <v>505</v>
      </c>
      <c r="B305" s="4" t="s">
        <v>505</v>
      </c>
      <c r="C305" s="4" t="s">
        <v>506</v>
      </c>
      <c r="D305" s="7" t="b">
        <f aca="false">TRUE()</f>
        <v>1</v>
      </c>
      <c r="E305" s="4" t="s">
        <v>28</v>
      </c>
      <c r="F305" s="11" t="s">
        <v>53</v>
      </c>
      <c r="G305" s="4" t="s">
        <v>54</v>
      </c>
      <c r="H305" s="4"/>
      <c r="I305" s="4"/>
    </row>
    <row r="306" customFormat="false" ht="15" hidden="false" customHeight="false" outlineLevel="0" collapsed="false">
      <c r="A306" s="4" t="s">
        <v>505</v>
      </c>
      <c r="B306" s="4" t="s">
        <v>505</v>
      </c>
      <c r="C306" s="4" t="s">
        <v>507</v>
      </c>
      <c r="D306" s="7" t="b">
        <f aca="false">TRUE()</f>
        <v>1</v>
      </c>
      <c r="E306" s="4" t="s">
        <v>28</v>
      </c>
      <c r="F306" s="8" t="s">
        <v>35</v>
      </c>
      <c r="G306" s="4" t="s">
        <v>36</v>
      </c>
      <c r="H306" s="4"/>
      <c r="I306" s="4"/>
    </row>
    <row r="307" customFormat="false" ht="15" hidden="false" customHeight="false" outlineLevel="0" collapsed="false">
      <c r="A307" s="4" t="s">
        <v>505</v>
      </c>
      <c r="B307" s="4" t="s">
        <v>505</v>
      </c>
      <c r="C307" s="4" t="s">
        <v>508</v>
      </c>
      <c r="D307" s="7" t="b">
        <f aca="false">FALSE()</f>
        <v>0</v>
      </c>
      <c r="E307" s="4" t="s">
        <v>28</v>
      </c>
      <c r="F307" s="8" t="s">
        <v>35</v>
      </c>
      <c r="G307" s="4" t="s">
        <v>36</v>
      </c>
      <c r="H307" s="4"/>
      <c r="I307" s="4"/>
    </row>
    <row r="308" customFormat="false" ht="15" hidden="false" customHeight="false" outlineLevel="0" collapsed="false">
      <c r="A308" s="4" t="s">
        <v>505</v>
      </c>
      <c r="B308" s="4" t="s">
        <v>509</v>
      </c>
      <c r="C308" s="4" t="s">
        <v>510</v>
      </c>
      <c r="D308" s="7" t="b">
        <f aca="false">TRUE()</f>
        <v>1</v>
      </c>
      <c r="E308" s="4" t="s">
        <v>44</v>
      </c>
      <c r="F308" s="8" t="s">
        <v>35</v>
      </c>
      <c r="G308" s="4" t="s">
        <v>36</v>
      </c>
      <c r="H308" s="4"/>
      <c r="I308" s="4"/>
    </row>
    <row r="309" customFormat="false" ht="15" hidden="false" customHeight="false" outlineLevel="0" collapsed="false">
      <c r="A309" s="4" t="s">
        <v>505</v>
      </c>
      <c r="B309" s="4" t="s">
        <v>509</v>
      </c>
      <c r="C309" s="4" t="s">
        <v>511</v>
      </c>
      <c r="D309" s="7" t="b">
        <f aca="false">TRUE()</f>
        <v>1</v>
      </c>
      <c r="E309" s="4" t="s">
        <v>44</v>
      </c>
      <c r="F309" s="8" t="s">
        <v>35</v>
      </c>
      <c r="G309" s="4" t="s">
        <v>36</v>
      </c>
      <c r="H309" s="4"/>
      <c r="I309" s="4"/>
    </row>
    <row r="310" customFormat="false" ht="15" hidden="false" customHeight="false" outlineLevel="0" collapsed="false">
      <c r="A310" s="4" t="s">
        <v>505</v>
      </c>
      <c r="B310" s="4" t="s">
        <v>509</v>
      </c>
      <c r="C310" s="4" t="s">
        <v>512</v>
      </c>
      <c r="D310" s="7" t="b">
        <f aca="false">TRUE()</f>
        <v>1</v>
      </c>
      <c r="E310" s="4" t="s">
        <v>44</v>
      </c>
      <c r="F310" s="8" t="s">
        <v>35</v>
      </c>
      <c r="G310" s="4" t="s">
        <v>36</v>
      </c>
      <c r="H310" s="4"/>
      <c r="I310" s="4"/>
    </row>
    <row r="311" customFormat="false" ht="15" hidden="false" customHeight="false" outlineLevel="0" collapsed="false">
      <c r="A311" s="4" t="s">
        <v>505</v>
      </c>
      <c r="B311" s="4" t="s">
        <v>509</v>
      </c>
      <c r="C311" s="4" t="s">
        <v>513</v>
      </c>
      <c r="D311" s="7" t="b">
        <f aca="false">TRUE()</f>
        <v>1</v>
      </c>
      <c r="E311" s="4" t="s">
        <v>44</v>
      </c>
      <c r="F311" s="8" t="s">
        <v>35</v>
      </c>
      <c r="G311" s="4" t="s">
        <v>36</v>
      </c>
      <c r="H311" s="4"/>
      <c r="I311" s="4"/>
    </row>
    <row r="312" customFormat="false" ht="15" hidden="false" customHeight="false" outlineLevel="0" collapsed="false">
      <c r="A312" s="4" t="s">
        <v>505</v>
      </c>
      <c r="B312" s="4" t="s">
        <v>509</v>
      </c>
      <c r="C312" s="4" t="s">
        <v>514</v>
      </c>
      <c r="D312" s="7" t="b">
        <f aca="false">TRUE()</f>
        <v>1</v>
      </c>
      <c r="E312" s="4" t="s">
        <v>44</v>
      </c>
      <c r="F312" s="8" t="s">
        <v>35</v>
      </c>
      <c r="G312" s="4" t="s">
        <v>36</v>
      </c>
      <c r="H312" s="4"/>
      <c r="I312" s="4"/>
    </row>
    <row r="313" customFormat="false" ht="15" hidden="false" customHeight="false" outlineLevel="0" collapsed="false">
      <c r="A313" s="4" t="s">
        <v>505</v>
      </c>
      <c r="B313" s="4" t="s">
        <v>509</v>
      </c>
      <c r="C313" s="4" t="s">
        <v>515</v>
      </c>
      <c r="D313" s="7" t="b">
        <f aca="false">TRUE()</f>
        <v>1</v>
      </c>
      <c r="E313" s="4" t="s">
        <v>44</v>
      </c>
      <c r="F313" s="8" t="s">
        <v>35</v>
      </c>
      <c r="G313" s="4" t="s">
        <v>36</v>
      </c>
      <c r="H313" s="4"/>
      <c r="I313" s="4"/>
    </row>
    <row r="314" customFormat="false" ht="15" hidden="false" customHeight="false" outlineLevel="0" collapsed="false">
      <c r="A314" s="4" t="s">
        <v>505</v>
      </c>
      <c r="B314" s="4" t="s">
        <v>509</v>
      </c>
      <c r="C314" s="4" t="s">
        <v>516</v>
      </c>
      <c r="D314" s="7" t="b">
        <f aca="false">TRUE()</f>
        <v>1</v>
      </c>
      <c r="E314" s="4" t="s">
        <v>44</v>
      </c>
      <c r="F314" s="8" t="s">
        <v>35</v>
      </c>
      <c r="G314" s="4" t="s">
        <v>36</v>
      </c>
      <c r="H314" s="4"/>
      <c r="I314" s="4"/>
    </row>
    <row r="315" customFormat="false" ht="15" hidden="false" customHeight="false" outlineLevel="0" collapsed="false">
      <c r="A315" s="4" t="s">
        <v>505</v>
      </c>
      <c r="B315" s="4" t="s">
        <v>509</v>
      </c>
      <c r="C315" s="4" t="s">
        <v>517</v>
      </c>
      <c r="D315" s="7" t="b">
        <f aca="false">TRUE()</f>
        <v>1</v>
      </c>
      <c r="E315" s="4" t="s">
        <v>44</v>
      </c>
      <c r="F315" s="8" t="s">
        <v>35</v>
      </c>
      <c r="G315" s="4" t="s">
        <v>36</v>
      </c>
      <c r="H315" s="4"/>
      <c r="I315" s="4"/>
    </row>
    <row r="316" customFormat="false" ht="15" hidden="false" customHeight="false" outlineLevel="0" collapsed="false">
      <c r="A316" s="4" t="s">
        <v>505</v>
      </c>
      <c r="B316" s="4" t="s">
        <v>509</v>
      </c>
      <c r="C316" s="4" t="s">
        <v>518</v>
      </c>
      <c r="D316" s="7" t="b">
        <f aca="false">TRUE()</f>
        <v>1</v>
      </c>
      <c r="E316" s="4" t="s">
        <v>44</v>
      </c>
      <c r="F316" s="8" t="s">
        <v>35</v>
      </c>
      <c r="G316" s="4" t="s">
        <v>36</v>
      </c>
      <c r="H316" s="4"/>
      <c r="I316" s="4"/>
    </row>
    <row r="317" customFormat="false" ht="15" hidden="false" customHeight="false" outlineLevel="0" collapsed="false">
      <c r="A317" s="4" t="s">
        <v>505</v>
      </c>
      <c r="B317" s="4" t="s">
        <v>509</v>
      </c>
      <c r="C317" s="4" t="s">
        <v>519</v>
      </c>
      <c r="D317" s="7" t="b">
        <f aca="false">TRUE()</f>
        <v>1</v>
      </c>
      <c r="E317" s="4" t="s">
        <v>44</v>
      </c>
      <c r="F317" s="8" t="s">
        <v>35</v>
      </c>
      <c r="G317" s="4" t="s">
        <v>36</v>
      </c>
      <c r="H317" s="4"/>
      <c r="I317" s="4"/>
    </row>
    <row r="318" customFormat="false" ht="15" hidden="false" customHeight="false" outlineLevel="0" collapsed="false">
      <c r="A318" s="4" t="s">
        <v>505</v>
      </c>
      <c r="B318" s="4" t="s">
        <v>509</v>
      </c>
      <c r="C318" s="4" t="s">
        <v>520</v>
      </c>
      <c r="D318" s="7" t="b">
        <f aca="false">TRUE()</f>
        <v>1</v>
      </c>
      <c r="E318" s="4" t="s">
        <v>44</v>
      </c>
      <c r="F318" s="8" t="s">
        <v>35</v>
      </c>
      <c r="G318" s="4" t="s">
        <v>36</v>
      </c>
      <c r="H318" s="4"/>
      <c r="I318" s="4"/>
    </row>
    <row r="319" customFormat="false" ht="15" hidden="false" customHeight="false" outlineLevel="0" collapsed="false">
      <c r="A319" s="4" t="s">
        <v>505</v>
      </c>
      <c r="B319" s="4" t="s">
        <v>509</v>
      </c>
      <c r="C319" s="4" t="s">
        <v>521</v>
      </c>
      <c r="D319" s="7" t="b">
        <f aca="false">TRUE()</f>
        <v>1</v>
      </c>
      <c r="E319" s="4" t="s">
        <v>44</v>
      </c>
      <c r="F319" s="8" t="s">
        <v>35</v>
      </c>
      <c r="G319" s="4" t="s">
        <v>36</v>
      </c>
      <c r="H319" s="4"/>
      <c r="I319" s="4"/>
    </row>
    <row r="320" customFormat="false" ht="15" hidden="false" customHeight="false" outlineLevel="0" collapsed="false">
      <c r="A320" s="4" t="s">
        <v>505</v>
      </c>
      <c r="B320" s="4" t="s">
        <v>509</v>
      </c>
      <c r="C320" s="4" t="s">
        <v>522</v>
      </c>
      <c r="D320" s="7" t="b">
        <f aca="false">TRUE()</f>
        <v>1</v>
      </c>
      <c r="E320" s="4" t="s">
        <v>44</v>
      </c>
      <c r="F320" s="8" t="s">
        <v>35</v>
      </c>
      <c r="G320" s="4" t="s">
        <v>36</v>
      </c>
      <c r="H320" s="4"/>
      <c r="I320" s="4"/>
    </row>
    <row r="321" customFormat="false" ht="15" hidden="false" customHeight="false" outlineLevel="0" collapsed="false">
      <c r="A321" s="4" t="s">
        <v>505</v>
      </c>
      <c r="B321" s="4" t="s">
        <v>509</v>
      </c>
      <c r="C321" s="4" t="s">
        <v>523</v>
      </c>
      <c r="D321" s="7" t="b">
        <f aca="false">TRUE()</f>
        <v>1</v>
      </c>
      <c r="E321" s="4" t="s">
        <v>44</v>
      </c>
      <c r="F321" s="8" t="s">
        <v>35</v>
      </c>
      <c r="G321" s="4" t="s">
        <v>36</v>
      </c>
      <c r="H321" s="4"/>
      <c r="I321" s="4"/>
    </row>
    <row r="322" customFormat="false" ht="15" hidden="false" customHeight="false" outlineLevel="0" collapsed="false">
      <c r="A322" s="4" t="s">
        <v>505</v>
      </c>
      <c r="B322" s="4" t="s">
        <v>509</v>
      </c>
      <c r="C322" s="4" t="s">
        <v>524</v>
      </c>
      <c r="D322" s="7" t="b">
        <f aca="false">TRUE()</f>
        <v>1</v>
      </c>
      <c r="E322" s="4" t="s">
        <v>44</v>
      </c>
      <c r="F322" s="8" t="s">
        <v>35</v>
      </c>
      <c r="G322" s="4" t="s">
        <v>36</v>
      </c>
      <c r="H322" s="4"/>
      <c r="I322" s="4"/>
    </row>
    <row r="323" customFormat="false" ht="15" hidden="false" customHeight="false" outlineLevel="0" collapsed="false">
      <c r="A323" s="4" t="s">
        <v>505</v>
      </c>
      <c r="B323" s="4" t="s">
        <v>525</v>
      </c>
      <c r="C323" s="4" t="s">
        <v>508</v>
      </c>
      <c r="D323" s="7" t="b">
        <f aca="false">TRUE()</f>
        <v>1</v>
      </c>
      <c r="E323" s="4" t="s">
        <v>44</v>
      </c>
      <c r="F323" s="8" t="s">
        <v>35</v>
      </c>
      <c r="G323" s="4" t="s">
        <v>36</v>
      </c>
      <c r="H323" s="4"/>
      <c r="I323" s="4"/>
    </row>
    <row r="324" customFormat="false" ht="15" hidden="false" customHeight="false" outlineLevel="0" collapsed="false">
      <c r="A324" s="4" t="s">
        <v>505</v>
      </c>
      <c r="B324" s="4" t="s">
        <v>526</v>
      </c>
      <c r="C324" s="4" t="s">
        <v>527</v>
      </c>
      <c r="D324" s="7" t="b">
        <f aca="false">TRUE()</f>
        <v>1</v>
      </c>
      <c r="E324" s="4" t="s">
        <v>44</v>
      </c>
      <c r="F324" s="8" t="s">
        <v>35</v>
      </c>
      <c r="G324" s="4" t="s">
        <v>36</v>
      </c>
      <c r="H324" s="4"/>
      <c r="I324" s="4"/>
    </row>
    <row r="325" customFormat="false" ht="15" hidden="false" customHeight="false" outlineLevel="0" collapsed="false">
      <c r="A325" s="4" t="s">
        <v>505</v>
      </c>
      <c r="B325" s="4" t="s">
        <v>526</v>
      </c>
      <c r="C325" s="4" t="s">
        <v>528</v>
      </c>
      <c r="D325" s="7" t="b">
        <f aca="false">TRUE()</f>
        <v>1</v>
      </c>
      <c r="E325" s="4" t="s">
        <v>44</v>
      </c>
      <c r="F325" s="8" t="s">
        <v>35</v>
      </c>
      <c r="G325" s="4" t="s">
        <v>36</v>
      </c>
      <c r="H325" s="4"/>
      <c r="I325" s="4"/>
    </row>
    <row r="326" customFormat="false" ht="15" hidden="false" customHeight="false" outlineLevel="0" collapsed="false">
      <c r="A326" s="4" t="s">
        <v>505</v>
      </c>
      <c r="B326" s="4" t="s">
        <v>526</v>
      </c>
      <c r="C326" s="4" t="s">
        <v>529</v>
      </c>
      <c r="D326" s="7" t="b">
        <f aca="false">TRUE()</f>
        <v>1</v>
      </c>
      <c r="E326" s="4" t="s">
        <v>44</v>
      </c>
      <c r="F326" s="8" t="s">
        <v>35</v>
      </c>
      <c r="G326" s="4" t="s">
        <v>36</v>
      </c>
      <c r="H326" s="4"/>
      <c r="I326" s="4"/>
    </row>
    <row r="327" customFormat="false" ht="15" hidden="false" customHeight="false" outlineLevel="0" collapsed="false">
      <c r="A327" s="4" t="s">
        <v>505</v>
      </c>
      <c r="B327" s="4" t="s">
        <v>526</v>
      </c>
      <c r="C327" s="4" t="s">
        <v>530</v>
      </c>
      <c r="D327" s="7" t="b">
        <f aca="false">TRUE()</f>
        <v>1</v>
      </c>
      <c r="E327" s="4" t="s">
        <v>44</v>
      </c>
      <c r="F327" s="8" t="s">
        <v>35</v>
      </c>
      <c r="G327" s="4" t="s">
        <v>36</v>
      </c>
      <c r="H327" s="4"/>
      <c r="I327" s="4"/>
    </row>
    <row r="328" customFormat="false" ht="15" hidden="false" customHeight="false" outlineLevel="0" collapsed="false">
      <c r="A328" s="4" t="s">
        <v>531</v>
      </c>
      <c r="B328" s="4" t="s">
        <v>532</v>
      </c>
      <c r="C328" s="4" t="s">
        <v>283</v>
      </c>
      <c r="D328" s="7" t="b">
        <f aca="false">TRUE()</f>
        <v>1</v>
      </c>
      <c r="E328" s="4" t="s">
        <v>44</v>
      </c>
      <c r="F328" s="11" t="s">
        <v>53</v>
      </c>
      <c r="G328" s="4" t="s">
        <v>54</v>
      </c>
      <c r="H328" s="4"/>
      <c r="I328" s="4"/>
    </row>
    <row r="329" customFormat="false" ht="15" hidden="false" customHeight="false" outlineLevel="0" collapsed="false">
      <c r="A329" s="4" t="s">
        <v>531</v>
      </c>
      <c r="B329" s="4" t="s">
        <v>532</v>
      </c>
      <c r="C329" s="4" t="s">
        <v>533</v>
      </c>
      <c r="D329" s="7" t="b">
        <f aca="false">TRUE()</f>
        <v>1</v>
      </c>
      <c r="E329" s="4" t="s">
        <v>44</v>
      </c>
      <c r="F329" s="8" t="s">
        <v>35</v>
      </c>
      <c r="G329" s="4" t="s">
        <v>36</v>
      </c>
      <c r="H329" s="4"/>
      <c r="I329" s="4"/>
    </row>
    <row r="330" customFormat="false" ht="15" hidden="false" customHeight="false" outlineLevel="0" collapsed="false">
      <c r="A330" s="4" t="s">
        <v>531</v>
      </c>
      <c r="B330" s="4" t="s">
        <v>532</v>
      </c>
      <c r="C330" s="4" t="s">
        <v>534</v>
      </c>
      <c r="D330" s="7" t="b">
        <f aca="false">TRUE()</f>
        <v>1</v>
      </c>
      <c r="E330" s="4" t="s">
        <v>44</v>
      </c>
      <c r="F330" s="8" t="s">
        <v>35</v>
      </c>
      <c r="G330" s="4" t="s">
        <v>36</v>
      </c>
      <c r="H330" s="4"/>
      <c r="I330" s="4"/>
    </row>
    <row r="331" customFormat="false" ht="15" hidden="false" customHeight="false" outlineLevel="0" collapsed="false">
      <c r="A331" s="4" t="s">
        <v>531</v>
      </c>
      <c r="B331" s="4" t="s">
        <v>532</v>
      </c>
      <c r="C331" s="4" t="s">
        <v>535</v>
      </c>
      <c r="D331" s="7" t="b">
        <f aca="false">TRUE()</f>
        <v>1</v>
      </c>
      <c r="E331" s="4" t="s">
        <v>44</v>
      </c>
      <c r="F331" s="8" t="s">
        <v>35</v>
      </c>
      <c r="G331" s="4" t="s">
        <v>36</v>
      </c>
      <c r="H331" s="4"/>
      <c r="I331" s="4"/>
    </row>
    <row r="332" customFormat="false" ht="15" hidden="false" customHeight="false" outlineLevel="0" collapsed="false">
      <c r="A332" s="4" t="s">
        <v>531</v>
      </c>
      <c r="B332" s="4" t="s">
        <v>532</v>
      </c>
      <c r="C332" s="4" t="s">
        <v>536</v>
      </c>
      <c r="D332" s="7" t="b">
        <f aca="false">TRUE()</f>
        <v>1</v>
      </c>
      <c r="E332" s="4" t="s">
        <v>44</v>
      </c>
      <c r="F332" s="8" t="s">
        <v>35</v>
      </c>
      <c r="G332" s="4" t="s">
        <v>36</v>
      </c>
      <c r="H332" s="4"/>
      <c r="I332" s="4"/>
    </row>
    <row r="333" customFormat="false" ht="15" hidden="false" customHeight="false" outlineLevel="0" collapsed="false">
      <c r="A333" s="4" t="s">
        <v>531</v>
      </c>
      <c r="B333" s="4" t="s">
        <v>532</v>
      </c>
      <c r="C333" s="4" t="s">
        <v>537</v>
      </c>
      <c r="D333" s="7" t="b">
        <f aca="false">TRUE()</f>
        <v>1</v>
      </c>
      <c r="E333" s="4" t="s">
        <v>44</v>
      </c>
      <c r="F333" s="8" t="s">
        <v>35</v>
      </c>
      <c r="G333" s="4" t="s">
        <v>36</v>
      </c>
      <c r="H333" s="4"/>
      <c r="I333" s="4"/>
    </row>
    <row r="334" customFormat="false" ht="15" hidden="false" customHeight="false" outlineLevel="0" collapsed="false">
      <c r="A334" s="4" t="s">
        <v>531</v>
      </c>
      <c r="B334" s="4" t="s">
        <v>532</v>
      </c>
      <c r="C334" s="4" t="s">
        <v>538</v>
      </c>
      <c r="D334" s="7" t="b">
        <f aca="false">TRUE()</f>
        <v>1</v>
      </c>
      <c r="E334" s="4" t="s">
        <v>44</v>
      </c>
      <c r="F334" s="8" t="s">
        <v>35</v>
      </c>
      <c r="G334" s="4" t="s">
        <v>36</v>
      </c>
      <c r="H334" s="4"/>
      <c r="I334" s="4"/>
    </row>
    <row r="335" customFormat="false" ht="15" hidden="false" customHeight="false" outlineLevel="0" collapsed="false">
      <c r="A335" s="4" t="s">
        <v>531</v>
      </c>
      <c r="B335" s="4" t="s">
        <v>532</v>
      </c>
      <c r="C335" s="4" t="s">
        <v>539</v>
      </c>
      <c r="D335" s="7" t="b">
        <f aca="false">TRUE()</f>
        <v>1</v>
      </c>
      <c r="E335" s="4" t="s">
        <v>44</v>
      </c>
      <c r="F335" s="8" t="s">
        <v>35</v>
      </c>
      <c r="G335" s="4" t="s">
        <v>36</v>
      </c>
      <c r="H335" s="4"/>
      <c r="I335" s="4"/>
    </row>
    <row r="336" customFormat="false" ht="15" hidden="false" customHeight="false" outlineLevel="0" collapsed="false">
      <c r="A336" s="4" t="s">
        <v>531</v>
      </c>
      <c r="B336" s="4" t="s">
        <v>540</v>
      </c>
      <c r="C336" s="4" t="s">
        <v>541</v>
      </c>
      <c r="D336" s="7" t="b">
        <f aca="false">TRUE()</f>
        <v>1</v>
      </c>
      <c r="E336" s="4" t="s">
        <v>44</v>
      </c>
      <c r="F336" s="10" t="s">
        <v>48</v>
      </c>
      <c r="G336" s="4" t="s">
        <v>49</v>
      </c>
      <c r="H336" s="4" t="s">
        <v>542</v>
      </c>
      <c r="I336" s="4"/>
    </row>
    <row r="337" customFormat="false" ht="15" hidden="false" customHeight="false" outlineLevel="0" collapsed="false">
      <c r="A337" s="4" t="s">
        <v>531</v>
      </c>
      <c r="B337" s="4" t="s">
        <v>540</v>
      </c>
      <c r="C337" s="4" t="s">
        <v>543</v>
      </c>
      <c r="D337" s="7" t="b">
        <f aca="false">TRUE()</f>
        <v>1</v>
      </c>
      <c r="E337" s="4" t="s">
        <v>44</v>
      </c>
      <c r="F337" s="10" t="s">
        <v>48</v>
      </c>
      <c r="G337" s="4" t="s">
        <v>49</v>
      </c>
      <c r="H337" s="4" t="s">
        <v>542</v>
      </c>
      <c r="I337" s="4"/>
    </row>
    <row r="338" customFormat="false" ht="15" hidden="false" customHeight="false" outlineLevel="0" collapsed="false">
      <c r="A338" s="4" t="s">
        <v>531</v>
      </c>
      <c r="B338" s="4" t="s">
        <v>540</v>
      </c>
      <c r="C338" s="4" t="s">
        <v>544</v>
      </c>
      <c r="D338" s="7" t="b">
        <f aca="false">TRUE()</f>
        <v>1</v>
      </c>
      <c r="E338" s="4" t="s">
        <v>44</v>
      </c>
      <c r="F338" s="10" t="s">
        <v>48</v>
      </c>
      <c r="G338" s="4" t="s">
        <v>49</v>
      </c>
      <c r="H338" s="4" t="s">
        <v>542</v>
      </c>
      <c r="I338" s="4"/>
    </row>
    <row r="339" customFormat="false" ht="15" hidden="false" customHeight="false" outlineLevel="0" collapsed="false">
      <c r="A339" s="4" t="s">
        <v>531</v>
      </c>
      <c r="B339" s="4" t="s">
        <v>540</v>
      </c>
      <c r="C339" s="4" t="s">
        <v>545</v>
      </c>
      <c r="D339" s="7" t="b">
        <f aca="false">TRUE()</f>
        <v>1</v>
      </c>
      <c r="E339" s="4" t="s">
        <v>44</v>
      </c>
      <c r="F339" s="10" t="s">
        <v>48</v>
      </c>
      <c r="G339" s="4" t="s">
        <v>49</v>
      </c>
      <c r="H339" s="4" t="s">
        <v>542</v>
      </c>
      <c r="I339" s="4"/>
    </row>
    <row r="340" customFormat="false" ht="15" hidden="false" customHeight="false" outlineLevel="0" collapsed="false">
      <c r="A340" s="4" t="s">
        <v>531</v>
      </c>
      <c r="B340" s="4" t="s">
        <v>540</v>
      </c>
      <c r="C340" s="4" t="s">
        <v>546</v>
      </c>
      <c r="D340" s="7" t="b">
        <f aca="false">FALSE()</f>
        <v>0</v>
      </c>
      <c r="E340" s="4" t="s">
        <v>44</v>
      </c>
      <c r="F340" s="10" t="s">
        <v>48</v>
      </c>
      <c r="G340" s="4" t="s">
        <v>49</v>
      </c>
      <c r="H340" s="4" t="s">
        <v>542</v>
      </c>
      <c r="I340" s="4"/>
    </row>
    <row r="341" customFormat="false" ht="15" hidden="false" customHeight="false" outlineLevel="0" collapsed="false">
      <c r="A341" s="4" t="s">
        <v>531</v>
      </c>
      <c r="B341" s="4" t="s">
        <v>540</v>
      </c>
      <c r="C341" s="4" t="s">
        <v>547</v>
      </c>
      <c r="D341" s="7" t="b">
        <f aca="false">FALSE()</f>
        <v>0</v>
      </c>
      <c r="E341" s="4" t="s">
        <v>44</v>
      </c>
      <c r="F341" s="10" t="s">
        <v>48</v>
      </c>
      <c r="G341" s="4" t="s">
        <v>49</v>
      </c>
      <c r="H341" s="4" t="s">
        <v>542</v>
      </c>
      <c r="I341" s="4"/>
    </row>
    <row r="342" customFormat="false" ht="15" hidden="false" customHeight="false" outlineLevel="0" collapsed="false">
      <c r="A342" s="4" t="s">
        <v>531</v>
      </c>
      <c r="B342" s="4" t="s">
        <v>540</v>
      </c>
      <c r="C342" s="4" t="s">
        <v>548</v>
      </c>
      <c r="D342" s="7" t="b">
        <f aca="false">TRUE()</f>
        <v>1</v>
      </c>
      <c r="E342" s="4" t="s">
        <v>44</v>
      </c>
      <c r="F342" s="8" t="s">
        <v>35</v>
      </c>
      <c r="G342" s="4" t="s">
        <v>36</v>
      </c>
      <c r="H342" s="4"/>
      <c r="I342" s="4"/>
    </row>
    <row r="343" customFormat="false" ht="15" hidden="false" customHeight="false" outlineLevel="0" collapsed="false">
      <c r="A343" s="4" t="s">
        <v>531</v>
      </c>
      <c r="B343" s="4" t="s">
        <v>549</v>
      </c>
      <c r="C343" s="4" t="s">
        <v>550</v>
      </c>
      <c r="D343" s="7" t="b">
        <f aca="false">TRUE()</f>
        <v>1</v>
      </c>
      <c r="E343" s="4" t="s">
        <v>65</v>
      </c>
      <c r="F343" s="12" t="s">
        <v>66</v>
      </c>
      <c r="G343" s="4" t="s">
        <v>49</v>
      </c>
      <c r="H343" s="4" t="s">
        <v>551</v>
      </c>
      <c r="I343" s="4"/>
    </row>
    <row r="344" customFormat="false" ht="15" hidden="false" customHeight="false" outlineLevel="0" collapsed="false">
      <c r="A344" s="4" t="s">
        <v>531</v>
      </c>
      <c r="B344" s="4" t="s">
        <v>552</v>
      </c>
      <c r="C344" s="4" t="s">
        <v>541</v>
      </c>
      <c r="D344" s="7" t="b">
        <f aca="false">FALSE()</f>
        <v>0</v>
      </c>
      <c r="E344" s="4" t="s">
        <v>44</v>
      </c>
      <c r="F344" s="8" t="s">
        <v>35</v>
      </c>
      <c r="G344" s="4" t="s">
        <v>36</v>
      </c>
      <c r="H344" s="4"/>
      <c r="I344" s="4"/>
    </row>
    <row r="345" customFormat="false" ht="15" hidden="false" customHeight="false" outlineLevel="0" collapsed="false">
      <c r="A345" s="4" t="s">
        <v>531</v>
      </c>
      <c r="B345" s="4" t="s">
        <v>552</v>
      </c>
      <c r="C345" s="4" t="s">
        <v>543</v>
      </c>
      <c r="D345" s="7" t="b">
        <f aca="false">FALSE()</f>
        <v>0</v>
      </c>
      <c r="E345" s="4" t="s">
        <v>44</v>
      </c>
      <c r="F345" s="8" t="s">
        <v>35</v>
      </c>
      <c r="G345" s="4" t="s">
        <v>36</v>
      </c>
      <c r="H345" s="4"/>
      <c r="I345" s="4"/>
    </row>
    <row r="346" customFormat="false" ht="15" hidden="false" customHeight="false" outlineLevel="0" collapsed="false">
      <c r="A346" s="4" t="s">
        <v>531</v>
      </c>
      <c r="B346" s="4" t="s">
        <v>552</v>
      </c>
      <c r="C346" s="4" t="s">
        <v>544</v>
      </c>
      <c r="D346" s="7" t="b">
        <f aca="false">FALSE()</f>
        <v>0</v>
      </c>
      <c r="E346" s="4" t="s">
        <v>44</v>
      </c>
      <c r="F346" s="8" t="s">
        <v>35</v>
      </c>
      <c r="G346" s="4" t="s">
        <v>36</v>
      </c>
      <c r="H346" s="4"/>
      <c r="I346" s="4"/>
    </row>
    <row r="347" customFormat="false" ht="15" hidden="false" customHeight="false" outlineLevel="0" collapsed="false">
      <c r="A347" s="4" t="s">
        <v>531</v>
      </c>
      <c r="B347" s="4" t="s">
        <v>552</v>
      </c>
      <c r="C347" s="4" t="s">
        <v>545</v>
      </c>
      <c r="D347" s="7" t="b">
        <f aca="false">FALSE()</f>
        <v>0</v>
      </c>
      <c r="E347" s="4" t="s">
        <v>44</v>
      </c>
      <c r="F347" s="8" t="s">
        <v>35</v>
      </c>
      <c r="G347" s="4" t="s">
        <v>36</v>
      </c>
      <c r="H347" s="4"/>
      <c r="I347" s="4"/>
    </row>
    <row r="348" customFormat="false" ht="15" hidden="false" customHeight="false" outlineLevel="0" collapsed="false">
      <c r="A348" s="4" t="s">
        <v>531</v>
      </c>
      <c r="B348" s="4" t="s">
        <v>552</v>
      </c>
      <c r="C348" s="4" t="s">
        <v>546</v>
      </c>
      <c r="D348" s="7" t="b">
        <f aca="false">TRUE()</f>
        <v>1</v>
      </c>
      <c r="E348" s="4" t="s">
        <v>44</v>
      </c>
      <c r="F348" s="8" t="s">
        <v>35</v>
      </c>
      <c r="G348" s="4" t="s">
        <v>36</v>
      </c>
      <c r="H348" s="4"/>
      <c r="I348" s="4"/>
    </row>
    <row r="349" customFormat="false" ht="15" hidden="false" customHeight="false" outlineLevel="0" collapsed="false">
      <c r="A349" s="4" t="s">
        <v>531</v>
      </c>
      <c r="B349" s="4" t="s">
        <v>552</v>
      </c>
      <c r="C349" s="4" t="s">
        <v>547</v>
      </c>
      <c r="D349" s="7" t="b">
        <f aca="false">TRUE()</f>
        <v>1</v>
      </c>
      <c r="E349" s="4" t="s">
        <v>44</v>
      </c>
      <c r="F349" s="8" t="s">
        <v>35</v>
      </c>
      <c r="G349" s="4" t="s">
        <v>36</v>
      </c>
      <c r="H349" s="4"/>
      <c r="I349" s="4"/>
    </row>
    <row r="350" customFormat="false" ht="15" hidden="false" customHeight="false" outlineLevel="0" collapsed="false">
      <c r="A350" s="4" t="s">
        <v>531</v>
      </c>
      <c r="B350" s="4" t="s">
        <v>552</v>
      </c>
      <c r="C350" s="4" t="s">
        <v>548</v>
      </c>
      <c r="D350" s="7" t="b">
        <f aca="false">FALSE()</f>
        <v>0</v>
      </c>
      <c r="E350" s="4" t="s">
        <v>44</v>
      </c>
      <c r="F350" s="8" t="s">
        <v>35</v>
      </c>
      <c r="G350" s="4" t="s">
        <v>36</v>
      </c>
      <c r="H350" s="4"/>
      <c r="I350" s="4"/>
    </row>
    <row r="351" customFormat="false" ht="15" hidden="false" customHeight="false" outlineLevel="0" collapsed="false">
      <c r="A351" s="4" t="s">
        <v>553</v>
      </c>
      <c r="B351" s="4" t="s">
        <v>553</v>
      </c>
      <c r="C351" s="4" t="s">
        <v>554</v>
      </c>
      <c r="D351" s="7" t="b">
        <f aca="false">TRUE()</f>
        <v>1</v>
      </c>
      <c r="E351" s="4" t="s">
        <v>555</v>
      </c>
      <c r="F351" s="12" t="s">
        <v>66</v>
      </c>
      <c r="G351" s="4" t="s">
        <v>54</v>
      </c>
      <c r="H351" s="4"/>
      <c r="I351" s="4"/>
    </row>
    <row r="352" customFormat="false" ht="15" hidden="false" customHeight="false" outlineLevel="0" collapsed="false">
      <c r="A352" s="4" t="s">
        <v>553</v>
      </c>
      <c r="B352" s="4" t="s">
        <v>553</v>
      </c>
      <c r="C352" s="4" t="s">
        <v>556</v>
      </c>
      <c r="D352" s="7" t="b">
        <f aca="false">TRUE()</f>
        <v>1</v>
      </c>
      <c r="E352" s="4" t="s">
        <v>555</v>
      </c>
      <c r="F352" s="12" t="s">
        <v>66</v>
      </c>
      <c r="G352" s="4" t="s">
        <v>54</v>
      </c>
      <c r="H352" s="4"/>
      <c r="I352" s="4" t="s">
        <v>557</v>
      </c>
    </row>
    <row r="353" customFormat="false" ht="15" hidden="false" customHeight="false" outlineLevel="0" collapsed="false">
      <c r="A353" s="4" t="s">
        <v>553</v>
      </c>
      <c r="B353" s="4" t="s">
        <v>553</v>
      </c>
      <c r="C353" s="4" t="s">
        <v>558</v>
      </c>
      <c r="D353" s="7" t="b">
        <f aca="false">TRUE()</f>
        <v>1</v>
      </c>
      <c r="E353" s="4" t="s">
        <v>555</v>
      </c>
      <c r="F353" s="12" t="s">
        <v>66</v>
      </c>
      <c r="G353" s="4" t="s">
        <v>54</v>
      </c>
      <c r="H353" s="4"/>
      <c r="I353" s="4"/>
    </row>
    <row r="354" customFormat="false" ht="15" hidden="false" customHeight="false" outlineLevel="0" collapsed="false">
      <c r="A354" s="4" t="s">
        <v>553</v>
      </c>
      <c r="B354" s="4" t="s">
        <v>553</v>
      </c>
      <c r="C354" s="4" t="s">
        <v>559</v>
      </c>
      <c r="D354" s="7" t="b">
        <f aca="false">FALSE()</f>
        <v>0</v>
      </c>
      <c r="E354" s="4" t="s">
        <v>555</v>
      </c>
      <c r="F354" s="12" t="s">
        <v>66</v>
      </c>
      <c r="G354" s="4" t="s">
        <v>54</v>
      </c>
      <c r="H354" s="4"/>
      <c r="I354" s="4"/>
    </row>
    <row r="355" customFormat="false" ht="15" hidden="false" customHeight="false" outlineLevel="0" collapsed="false">
      <c r="A355" s="4" t="s">
        <v>553</v>
      </c>
      <c r="B355" s="4" t="s">
        <v>553</v>
      </c>
      <c r="C355" s="4" t="s">
        <v>560</v>
      </c>
      <c r="D355" s="7" t="b">
        <f aca="false">TRUE()</f>
        <v>1</v>
      </c>
      <c r="E355" s="4" t="s">
        <v>555</v>
      </c>
      <c r="F355" s="12" t="s">
        <v>66</v>
      </c>
      <c r="G355" s="4" t="s">
        <v>30</v>
      </c>
      <c r="H355" s="4"/>
      <c r="I355" s="4"/>
    </row>
    <row r="356" customFormat="false" ht="15" hidden="false" customHeight="false" outlineLevel="0" collapsed="false">
      <c r="A356" s="4" t="s">
        <v>553</v>
      </c>
      <c r="B356" s="4" t="s">
        <v>553</v>
      </c>
      <c r="C356" s="4" t="s">
        <v>561</v>
      </c>
      <c r="D356" s="7" t="b">
        <f aca="false">TRUE()</f>
        <v>1</v>
      </c>
      <c r="E356" s="4" t="s">
        <v>555</v>
      </c>
      <c r="F356" s="12" t="s">
        <v>66</v>
      </c>
      <c r="G356" s="4" t="s">
        <v>30</v>
      </c>
      <c r="H356" s="4"/>
      <c r="I356" s="4"/>
    </row>
    <row r="357" customFormat="false" ht="15" hidden="false" customHeight="false" outlineLevel="0" collapsed="false">
      <c r="A357" s="4" t="s">
        <v>553</v>
      </c>
      <c r="B357" s="4" t="s">
        <v>553</v>
      </c>
      <c r="C357" s="4" t="s">
        <v>562</v>
      </c>
      <c r="D357" s="7" t="b">
        <f aca="false">TRUE()</f>
        <v>1</v>
      </c>
      <c r="E357" s="4" t="s">
        <v>555</v>
      </c>
      <c r="F357" s="12" t="s">
        <v>66</v>
      </c>
      <c r="G357" s="4" t="s">
        <v>30</v>
      </c>
      <c r="H357" s="4"/>
      <c r="I357" s="4"/>
    </row>
    <row r="358" customFormat="false" ht="15" hidden="false" customHeight="false" outlineLevel="0" collapsed="false">
      <c r="A358" s="4" t="s">
        <v>553</v>
      </c>
      <c r="B358" s="4" t="s">
        <v>553</v>
      </c>
      <c r="C358" s="4" t="s">
        <v>563</v>
      </c>
      <c r="D358" s="7" t="b">
        <f aca="false">TRUE()</f>
        <v>1</v>
      </c>
      <c r="E358" s="4" t="s">
        <v>555</v>
      </c>
      <c r="F358" s="12" t="s">
        <v>66</v>
      </c>
      <c r="G358" s="4" t="s">
        <v>30</v>
      </c>
      <c r="H358" s="4"/>
      <c r="I358" s="4"/>
    </row>
    <row r="359" customFormat="false" ht="15" hidden="false" customHeight="false" outlineLevel="0" collapsed="false">
      <c r="A359" s="4" t="s">
        <v>553</v>
      </c>
      <c r="B359" s="4" t="s">
        <v>553</v>
      </c>
      <c r="C359" s="4" t="s">
        <v>564</v>
      </c>
      <c r="D359" s="7" t="b">
        <f aca="false">FALSE()</f>
        <v>0</v>
      </c>
      <c r="E359" s="4" t="s">
        <v>555</v>
      </c>
      <c r="F359" s="12" t="s">
        <v>66</v>
      </c>
      <c r="G359" s="4" t="s">
        <v>30</v>
      </c>
      <c r="H359" s="4"/>
      <c r="I359" s="4"/>
    </row>
    <row r="360" customFormat="false" ht="15" hidden="false" customHeight="false" outlineLevel="0" collapsed="false">
      <c r="A360" s="4" t="s">
        <v>553</v>
      </c>
      <c r="B360" s="4" t="s">
        <v>553</v>
      </c>
      <c r="C360" s="4" t="s">
        <v>565</v>
      </c>
      <c r="D360" s="7" t="b">
        <f aca="false">TRUE()</f>
        <v>1</v>
      </c>
      <c r="E360" s="4" t="s">
        <v>555</v>
      </c>
      <c r="F360" s="12" t="s">
        <v>66</v>
      </c>
      <c r="G360" s="4" t="s">
        <v>36</v>
      </c>
      <c r="H360" s="4"/>
      <c r="I360" s="4"/>
    </row>
    <row r="361" customFormat="false" ht="15" hidden="false" customHeight="false" outlineLevel="0" collapsed="false">
      <c r="A361" s="4" t="s">
        <v>566</v>
      </c>
      <c r="B361" s="4" t="s">
        <v>566</v>
      </c>
      <c r="C361" s="4" t="s">
        <v>567</v>
      </c>
      <c r="D361" s="7" t="b">
        <f aca="false">TRUE()</f>
        <v>1</v>
      </c>
      <c r="E361" s="4" t="s">
        <v>28</v>
      </c>
      <c r="F361" s="11" t="s">
        <v>53</v>
      </c>
      <c r="G361" s="4" t="s">
        <v>54</v>
      </c>
      <c r="H361" s="4"/>
      <c r="I361" s="4"/>
    </row>
    <row r="362" customFormat="false" ht="15" hidden="false" customHeight="false" outlineLevel="0" collapsed="false">
      <c r="A362" s="4" t="s">
        <v>566</v>
      </c>
      <c r="B362" s="4" t="s">
        <v>566</v>
      </c>
      <c r="C362" s="4" t="s">
        <v>568</v>
      </c>
      <c r="D362" s="7" t="b">
        <f aca="false">TRUE()</f>
        <v>1</v>
      </c>
      <c r="E362" s="4" t="s">
        <v>28</v>
      </c>
      <c r="F362" s="11" t="s">
        <v>53</v>
      </c>
      <c r="G362" s="4" t="s">
        <v>54</v>
      </c>
      <c r="H362" s="4"/>
      <c r="I362" s="4"/>
    </row>
    <row r="363" customFormat="false" ht="15" hidden="false" customHeight="false" outlineLevel="0" collapsed="false">
      <c r="A363" s="4" t="s">
        <v>566</v>
      </c>
      <c r="B363" s="4" t="s">
        <v>566</v>
      </c>
      <c r="C363" s="4" t="s">
        <v>569</v>
      </c>
      <c r="D363" s="7" t="b">
        <f aca="false">TRUE()</f>
        <v>1</v>
      </c>
      <c r="E363" s="4" t="s">
        <v>28</v>
      </c>
      <c r="F363" s="11" t="s">
        <v>53</v>
      </c>
      <c r="G363" s="4" t="s">
        <v>54</v>
      </c>
      <c r="H363" s="4"/>
      <c r="I363" s="4"/>
    </row>
    <row r="364" customFormat="false" ht="15" hidden="false" customHeight="false" outlineLevel="0" collapsed="false">
      <c r="A364" s="4" t="s">
        <v>566</v>
      </c>
      <c r="B364" s="4" t="s">
        <v>570</v>
      </c>
      <c r="C364" s="4" t="s">
        <v>276</v>
      </c>
      <c r="D364" s="7" t="b">
        <f aca="false">TRUE()</f>
        <v>1</v>
      </c>
      <c r="E364" s="4" t="s">
        <v>44</v>
      </c>
      <c r="F364" s="8" t="s">
        <v>35</v>
      </c>
      <c r="G364" s="4" t="s">
        <v>36</v>
      </c>
      <c r="H364" s="4"/>
      <c r="I364" s="4"/>
    </row>
    <row r="365" customFormat="false" ht="15" hidden="false" customHeight="false" outlineLevel="0" collapsed="false">
      <c r="A365" s="4" t="s">
        <v>566</v>
      </c>
      <c r="B365" s="4" t="s">
        <v>570</v>
      </c>
      <c r="C365" s="4" t="s">
        <v>571</v>
      </c>
      <c r="D365" s="7" t="b">
        <f aca="false">TRUE()</f>
        <v>1</v>
      </c>
      <c r="E365" s="4" t="s">
        <v>44</v>
      </c>
      <c r="F365" s="8" t="s">
        <v>35</v>
      </c>
      <c r="G365" s="4" t="s">
        <v>36</v>
      </c>
      <c r="H365" s="4"/>
      <c r="I365" s="4"/>
    </row>
    <row r="366" customFormat="false" ht="15" hidden="false" customHeight="false" outlineLevel="0" collapsed="false">
      <c r="A366" s="4" t="s">
        <v>566</v>
      </c>
      <c r="B366" s="4" t="s">
        <v>570</v>
      </c>
      <c r="C366" s="4" t="s">
        <v>572</v>
      </c>
      <c r="D366" s="7" t="b">
        <f aca="false">TRUE()</f>
        <v>1</v>
      </c>
      <c r="E366" s="4" t="s">
        <v>44</v>
      </c>
      <c r="F366" s="10" t="s">
        <v>48</v>
      </c>
      <c r="G366" s="4" t="s">
        <v>49</v>
      </c>
      <c r="H366" s="4" t="s">
        <v>278</v>
      </c>
      <c r="I366" s="4"/>
    </row>
    <row r="367" customFormat="false" ht="15" hidden="false" customHeight="false" outlineLevel="0" collapsed="false">
      <c r="A367" s="4" t="s">
        <v>566</v>
      </c>
      <c r="B367" s="4" t="s">
        <v>570</v>
      </c>
      <c r="C367" s="4" t="s">
        <v>573</v>
      </c>
      <c r="D367" s="7" t="b">
        <f aca="false">TRUE()</f>
        <v>1</v>
      </c>
      <c r="E367" s="4" t="s">
        <v>44</v>
      </c>
      <c r="F367" s="10" t="s">
        <v>48</v>
      </c>
      <c r="G367" s="4" t="s">
        <v>49</v>
      </c>
      <c r="H367" s="4" t="s">
        <v>278</v>
      </c>
      <c r="I367" s="4"/>
    </row>
    <row r="368" customFormat="false" ht="15" hidden="false" customHeight="false" outlineLevel="0" collapsed="false">
      <c r="A368" s="4" t="s">
        <v>566</v>
      </c>
      <c r="B368" s="4" t="s">
        <v>574</v>
      </c>
      <c r="C368" s="4" t="s">
        <v>575</v>
      </c>
      <c r="D368" s="7" t="b">
        <f aca="false">TRUE()</f>
        <v>1</v>
      </c>
      <c r="E368" s="4" t="s">
        <v>44</v>
      </c>
      <c r="F368" s="10" t="s">
        <v>48</v>
      </c>
      <c r="G368" s="4" t="s">
        <v>49</v>
      </c>
      <c r="H368" s="4" t="s">
        <v>304</v>
      </c>
      <c r="I368" s="4" t="s">
        <v>305</v>
      </c>
    </row>
    <row r="369" customFormat="false" ht="15" hidden="false" customHeight="false" outlineLevel="0" collapsed="false">
      <c r="A369" s="4" t="s">
        <v>566</v>
      </c>
      <c r="B369" s="4" t="s">
        <v>574</v>
      </c>
      <c r="C369" s="4" t="s">
        <v>576</v>
      </c>
      <c r="D369" s="7" t="b">
        <f aca="false">TRUE()</f>
        <v>1</v>
      </c>
      <c r="E369" s="4" t="s">
        <v>44</v>
      </c>
      <c r="F369" s="11" t="s">
        <v>53</v>
      </c>
      <c r="G369" s="4" t="s">
        <v>54</v>
      </c>
      <c r="H369" s="4"/>
      <c r="I369" s="4"/>
    </row>
    <row r="370" customFormat="false" ht="15" hidden="false" customHeight="false" outlineLevel="0" collapsed="false">
      <c r="A370" s="4" t="s">
        <v>566</v>
      </c>
      <c r="B370" s="4" t="s">
        <v>574</v>
      </c>
      <c r="C370" s="4" t="s">
        <v>577</v>
      </c>
      <c r="D370" s="7" t="b">
        <f aca="false">TRUE()</f>
        <v>1</v>
      </c>
      <c r="E370" s="4" t="s">
        <v>44</v>
      </c>
      <c r="F370" s="10" t="s">
        <v>48</v>
      </c>
      <c r="G370" s="4" t="s">
        <v>49</v>
      </c>
      <c r="H370" s="4" t="s">
        <v>578</v>
      </c>
      <c r="I370" s="4" t="s">
        <v>579</v>
      </c>
    </row>
    <row r="371" customFormat="false" ht="15" hidden="false" customHeight="false" outlineLevel="0" collapsed="false">
      <c r="A371" s="4" t="s">
        <v>566</v>
      </c>
      <c r="B371" s="4" t="s">
        <v>574</v>
      </c>
      <c r="C371" s="4" t="s">
        <v>580</v>
      </c>
      <c r="D371" s="7" t="b">
        <f aca="false">TRUE()</f>
        <v>1</v>
      </c>
      <c r="E371" s="4" t="s">
        <v>44</v>
      </c>
      <c r="F371" s="10" t="s">
        <v>48</v>
      </c>
      <c r="G371" s="4" t="s">
        <v>49</v>
      </c>
      <c r="H371" s="4" t="s">
        <v>578</v>
      </c>
      <c r="I371" s="4"/>
    </row>
    <row r="372" customFormat="false" ht="15" hidden="false" customHeight="false" outlineLevel="0" collapsed="false">
      <c r="A372" s="4" t="s">
        <v>566</v>
      </c>
      <c r="B372" s="4" t="s">
        <v>581</v>
      </c>
      <c r="C372" s="4" t="s">
        <v>582</v>
      </c>
      <c r="D372" s="7" t="b">
        <f aca="false">TRUE()</f>
        <v>1</v>
      </c>
      <c r="E372" s="4" t="s">
        <v>44</v>
      </c>
      <c r="F372" s="11" t="s">
        <v>53</v>
      </c>
      <c r="G372" s="4" t="s">
        <v>54</v>
      </c>
      <c r="H372" s="4"/>
      <c r="I372" s="4"/>
    </row>
    <row r="373" customFormat="false" ht="15" hidden="false" customHeight="false" outlineLevel="0" collapsed="false">
      <c r="A373" s="4" t="s">
        <v>566</v>
      </c>
      <c r="B373" s="4" t="s">
        <v>581</v>
      </c>
      <c r="C373" s="4" t="s">
        <v>583</v>
      </c>
      <c r="D373" s="7" t="b">
        <f aca="false">TRUE()</f>
        <v>1</v>
      </c>
      <c r="E373" s="4" t="s">
        <v>44</v>
      </c>
      <c r="F373" s="11" t="s">
        <v>53</v>
      </c>
      <c r="G373" s="4" t="s">
        <v>54</v>
      </c>
      <c r="H373" s="4"/>
      <c r="I373" s="4" t="s">
        <v>584</v>
      </c>
    </row>
    <row r="374" customFormat="false" ht="15" hidden="false" customHeight="false" outlineLevel="0" collapsed="false">
      <c r="A374" s="4" t="s">
        <v>566</v>
      </c>
      <c r="B374" s="4" t="s">
        <v>581</v>
      </c>
      <c r="C374" s="4" t="s">
        <v>585</v>
      </c>
      <c r="D374" s="7" t="b">
        <f aca="false">TRUE()</f>
        <v>1</v>
      </c>
      <c r="E374" s="4" t="s">
        <v>44</v>
      </c>
      <c r="F374" s="8" t="s">
        <v>35</v>
      </c>
      <c r="G374" s="4" t="s">
        <v>36</v>
      </c>
      <c r="H374" s="4"/>
      <c r="I374" s="4"/>
    </row>
    <row r="375" customFormat="false" ht="15" hidden="false" customHeight="false" outlineLevel="0" collapsed="false">
      <c r="A375" s="4" t="s">
        <v>566</v>
      </c>
      <c r="B375" s="4" t="s">
        <v>581</v>
      </c>
      <c r="C375" s="4" t="s">
        <v>586</v>
      </c>
      <c r="D375" s="7" t="b">
        <f aca="false">TRUE()</f>
        <v>1</v>
      </c>
      <c r="E375" s="4" t="s">
        <v>44</v>
      </c>
      <c r="F375" s="10" t="s">
        <v>48</v>
      </c>
      <c r="G375" s="4" t="s">
        <v>49</v>
      </c>
      <c r="H375" s="4" t="s">
        <v>587</v>
      </c>
      <c r="I375" s="4"/>
    </row>
    <row r="376" customFormat="false" ht="15" hidden="false" customHeight="false" outlineLevel="0" collapsed="false">
      <c r="A376" s="4" t="s">
        <v>566</v>
      </c>
      <c r="B376" s="4" t="s">
        <v>581</v>
      </c>
      <c r="C376" s="4" t="s">
        <v>588</v>
      </c>
      <c r="D376" s="7" t="b">
        <f aca="false">TRUE()</f>
        <v>1</v>
      </c>
      <c r="E376" s="4" t="s">
        <v>44</v>
      </c>
      <c r="F376" s="10" t="s">
        <v>48</v>
      </c>
      <c r="G376" s="4" t="s">
        <v>49</v>
      </c>
      <c r="H376" s="4" t="s">
        <v>589</v>
      </c>
      <c r="I376" s="4" t="s">
        <v>590</v>
      </c>
    </row>
    <row r="377" customFormat="false" ht="15" hidden="false" customHeight="false" outlineLevel="0" collapsed="false">
      <c r="A377" s="4" t="s">
        <v>566</v>
      </c>
      <c r="B377" s="4" t="s">
        <v>581</v>
      </c>
      <c r="C377" s="4" t="s">
        <v>591</v>
      </c>
      <c r="D377" s="7" t="b">
        <f aca="false">TRUE()</f>
        <v>1</v>
      </c>
      <c r="E377" s="4" t="s">
        <v>44</v>
      </c>
      <c r="F377" s="10" t="s">
        <v>48</v>
      </c>
      <c r="G377" s="4" t="s">
        <v>49</v>
      </c>
      <c r="H377" s="4" t="s">
        <v>589</v>
      </c>
      <c r="I377" s="4" t="s">
        <v>592</v>
      </c>
    </row>
    <row r="378" customFormat="false" ht="15" hidden="false" customHeight="false" outlineLevel="0" collapsed="false">
      <c r="A378" s="4" t="s">
        <v>566</v>
      </c>
      <c r="B378" s="4" t="s">
        <v>581</v>
      </c>
      <c r="C378" s="4" t="s">
        <v>593</v>
      </c>
      <c r="D378" s="7" t="b">
        <f aca="false">TRUE()</f>
        <v>1</v>
      </c>
      <c r="E378" s="4" t="s">
        <v>44</v>
      </c>
      <c r="F378" s="10" t="s">
        <v>48</v>
      </c>
      <c r="G378" s="4" t="s">
        <v>49</v>
      </c>
      <c r="H378" s="4" t="s">
        <v>594</v>
      </c>
      <c r="I378" s="9" t="s">
        <v>595</v>
      </c>
    </row>
    <row r="379" customFormat="false" ht="15" hidden="false" customHeight="false" outlineLevel="0" collapsed="false">
      <c r="A379" s="4" t="s">
        <v>566</v>
      </c>
      <c r="B379" s="4" t="s">
        <v>581</v>
      </c>
      <c r="C379" s="4" t="s">
        <v>596</v>
      </c>
      <c r="D379" s="7" t="b">
        <f aca="false">TRUE()</f>
        <v>1</v>
      </c>
      <c r="E379" s="4" t="s">
        <v>44</v>
      </c>
      <c r="F379" s="8" t="s">
        <v>35</v>
      </c>
      <c r="G379" s="4" t="s">
        <v>36</v>
      </c>
      <c r="H379" s="4"/>
      <c r="I379" s="9" t="s">
        <v>597</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4" min="3" style="0" width="9"/>
    <col collapsed="false" customWidth="true" hidden="false" outlineLevel="0" max="5" min="5" style="0" width="10"/>
    <col collapsed="false" customWidth="true" hidden="false" outlineLevel="0" max="6" min="6" style="0" width="9"/>
    <col collapsed="false" customWidth="true" hidden="false" outlineLevel="0" max="7" min="7" style="0" width="42"/>
    <col collapsed="false" customWidth="true" hidden="false" outlineLevel="0" max="8" min="8" style="0" width="62"/>
    <col collapsed="false" customWidth="true" hidden="false" outlineLevel="0" max="9" min="9" style="0" width="16"/>
  </cols>
  <sheetData>
    <row r="1" customFormat="false" ht="18.55" hidden="false" customHeight="false" outlineLevel="0" collapsed="false">
      <c r="A1" s="1" t="s">
        <v>598</v>
      </c>
      <c r="B1" s="1"/>
      <c r="C1" s="1"/>
      <c r="D1" s="1"/>
      <c r="E1" s="1"/>
      <c r="F1" s="1"/>
      <c r="G1" s="1"/>
      <c r="H1" s="1"/>
    </row>
    <row r="2" customFormat="false" ht="15" hidden="false" customHeight="false" outlineLevel="0" collapsed="false">
      <c r="A2" s="14" t="s">
        <v>599</v>
      </c>
    </row>
    <row r="4" customFormat="false" ht="15" hidden="false" customHeight="false" outlineLevel="0" collapsed="false">
      <c r="A4" s="3" t="s">
        <v>17</v>
      </c>
      <c r="B4" s="3" t="s">
        <v>600</v>
      </c>
      <c r="C4" s="3" t="s">
        <v>601</v>
      </c>
      <c r="D4" s="3" t="s">
        <v>602</v>
      </c>
      <c r="E4" s="3" t="s">
        <v>603</v>
      </c>
      <c r="F4" s="3" t="s">
        <v>604</v>
      </c>
      <c r="G4" s="3" t="s">
        <v>605</v>
      </c>
      <c r="H4" s="3" t="s">
        <v>606</v>
      </c>
      <c r="I4" s="3" t="s">
        <v>607</v>
      </c>
    </row>
    <row r="5" customFormat="false" ht="60" hidden="false" customHeight="true" outlineLevel="0" collapsed="false">
      <c r="A5" s="8" t="s">
        <v>283</v>
      </c>
      <c r="B5" s="8" t="n">
        <f aca="false">COUNTIF('All Policy Rules'!A:A,A5)</f>
        <v>81</v>
      </c>
      <c r="C5" s="8" t="n">
        <f aca="false">COUNTIFS('All Policy Rules'!A:A,A5,'All Policy Rules'!F:F,"BLOCKING")</f>
        <v>20</v>
      </c>
      <c r="D5" s="8" t="n">
        <f aca="false">COUNTIFS('All Policy Rules'!A:A,A5,'All Policy Rules'!F:F,"LOG-ONLY (continue)")</f>
        <v>11</v>
      </c>
      <c r="E5" s="8" t="n">
        <f aca="false">COUNTIFS('All Policy Rules'!A:A,A5,'All Policy Rules'!F:F,"ALLOW (exits group)")</f>
        <v>44</v>
      </c>
      <c r="F5" s="8" t="n">
        <f aca="false">COUNTIFS('All Policy Rules'!A:A,A5,'All Policy Rules'!F:F,"INACTIVE (disabled)")</f>
        <v>4</v>
      </c>
      <c r="G5" s="15" t="s">
        <v>608</v>
      </c>
      <c r="H5" s="15" t="s">
        <v>609</v>
      </c>
      <c r="I5" s="16" t="s">
        <v>610</v>
      </c>
    </row>
    <row r="6" customFormat="false" ht="60" hidden="false" customHeight="true" outlineLevel="0" collapsed="false">
      <c r="A6" s="4" t="s">
        <v>38</v>
      </c>
      <c r="B6" s="4" t="n">
        <f aca="false">COUNTIF('All Policy Rules'!A:A,A6)</f>
        <v>60</v>
      </c>
      <c r="C6" s="4" t="n">
        <f aca="false">COUNTIFS('All Policy Rules'!A:A,A6,'All Policy Rules'!F:F,"BLOCKING")</f>
        <v>9</v>
      </c>
      <c r="D6" s="4" t="n">
        <f aca="false">COUNTIFS('All Policy Rules'!A:A,A6,'All Policy Rules'!F:F,"LOG-ONLY (continue)")</f>
        <v>31</v>
      </c>
      <c r="E6" s="4" t="n">
        <f aca="false">COUNTIFS('All Policy Rules'!A:A,A6,'All Policy Rules'!F:F,"ALLOW (exits group)")</f>
        <v>6</v>
      </c>
      <c r="F6" s="4" t="n">
        <f aca="false">COUNTIFS('All Policy Rules'!A:A,A6,'All Policy Rules'!F:F,"INACTIVE (disabled)")</f>
        <v>2</v>
      </c>
      <c r="G6" s="17" t="s">
        <v>611</v>
      </c>
      <c r="H6" s="17" t="s">
        <v>612</v>
      </c>
      <c r="I6" s="18" t="s">
        <v>613</v>
      </c>
    </row>
    <row r="7" customFormat="false" ht="60" hidden="false" customHeight="true" outlineLevel="0" collapsed="false">
      <c r="A7" s="12" t="s">
        <v>184</v>
      </c>
      <c r="B7" s="12" t="n">
        <f aca="false">COUNTIF('All Policy Rules'!A:A,A7)</f>
        <v>54</v>
      </c>
      <c r="C7" s="12" t="n">
        <f aca="false">COUNTIFS('All Policy Rules'!A:A,A7,'All Policy Rules'!F:F,"BLOCKING")</f>
        <v>11</v>
      </c>
      <c r="D7" s="12" t="n">
        <f aca="false">COUNTIFS('All Policy Rules'!A:A,A7,'All Policy Rules'!F:F,"LOG-ONLY (continue)")</f>
        <v>14</v>
      </c>
      <c r="E7" s="12" t="n">
        <f aca="false">COUNTIFS('All Policy Rules'!A:A,A7,'All Policy Rules'!F:F,"ALLOW (exits group)")</f>
        <v>26</v>
      </c>
      <c r="F7" s="12" t="n">
        <f aca="false">COUNTIFS('All Policy Rules'!A:A,A7,'All Policy Rules'!F:F,"INACTIVE (disabled)")</f>
        <v>0</v>
      </c>
      <c r="G7" s="19" t="s">
        <v>614</v>
      </c>
      <c r="H7" s="19" t="s">
        <v>615</v>
      </c>
      <c r="I7" s="20" t="s">
        <v>616</v>
      </c>
    </row>
    <row r="8" customFormat="false" ht="60" hidden="false" customHeight="true" outlineLevel="0" collapsed="false">
      <c r="A8" s="8" t="s">
        <v>432</v>
      </c>
      <c r="B8" s="8" t="n">
        <f aca="false">COUNTIF('All Policy Rules'!A:A,A8)</f>
        <v>50</v>
      </c>
      <c r="C8" s="8" t="n">
        <f aca="false">COUNTIFS('All Policy Rules'!A:A,A8,'All Policy Rules'!F:F,"BLOCKING")</f>
        <v>12</v>
      </c>
      <c r="D8" s="8" t="n">
        <f aca="false">COUNTIFS('All Policy Rules'!A:A,A8,'All Policy Rules'!F:F,"LOG-ONLY (continue)")</f>
        <v>10</v>
      </c>
      <c r="E8" s="8" t="n">
        <f aca="false">COUNTIFS('All Policy Rules'!A:A,A8,'All Policy Rules'!F:F,"ALLOW (exits group)")</f>
        <v>12</v>
      </c>
      <c r="F8" s="8" t="n">
        <f aca="false">COUNTIFS('All Policy Rules'!A:A,A8,'All Policy Rules'!F:F,"INACTIVE (disabled)")</f>
        <v>6</v>
      </c>
      <c r="G8" s="15" t="s">
        <v>617</v>
      </c>
      <c r="H8" s="15" t="s">
        <v>618</v>
      </c>
      <c r="I8" s="16" t="s">
        <v>610</v>
      </c>
    </row>
    <row r="9" customFormat="false" ht="60" hidden="false" customHeight="true" outlineLevel="0" collapsed="false">
      <c r="A9" s="4" t="s">
        <v>505</v>
      </c>
      <c r="B9" s="4" t="n">
        <f aca="false">COUNTIF('All Policy Rules'!A:A,A9)</f>
        <v>23</v>
      </c>
      <c r="C9" s="4" t="n">
        <f aca="false">COUNTIFS('All Policy Rules'!A:A,A9,'All Policy Rules'!F:F,"BLOCKING")</f>
        <v>0</v>
      </c>
      <c r="D9" s="4" t="n">
        <f aca="false">COUNTIFS('All Policy Rules'!A:A,A9,'All Policy Rules'!F:F,"LOG-ONLY (continue)")</f>
        <v>22</v>
      </c>
      <c r="E9" s="4" t="n">
        <f aca="false">COUNTIFS('All Policy Rules'!A:A,A9,'All Policy Rules'!F:F,"ALLOW (exits group)")</f>
        <v>1</v>
      </c>
      <c r="F9" s="4" t="n">
        <f aca="false">COUNTIFS('All Policy Rules'!A:A,A9,'All Policy Rules'!F:F,"INACTIVE (disabled)")</f>
        <v>0</v>
      </c>
      <c r="G9" s="17" t="s">
        <v>619</v>
      </c>
      <c r="H9" s="17" t="s">
        <v>620</v>
      </c>
      <c r="I9" s="18" t="s">
        <v>621</v>
      </c>
    </row>
    <row r="10" customFormat="false" ht="60" hidden="false" customHeight="true" outlineLevel="0" collapsed="false">
      <c r="A10" s="8" t="s">
        <v>531</v>
      </c>
      <c r="B10" s="8" t="n">
        <f aca="false">COUNTIF('All Policy Rules'!A:A,A10)</f>
        <v>23</v>
      </c>
      <c r="C10" s="8" t="n">
        <f aca="false">COUNTIFS('All Policy Rules'!A:A,A10,'All Policy Rules'!F:F,"BLOCKING")</f>
        <v>6</v>
      </c>
      <c r="D10" s="8" t="n">
        <f aca="false">COUNTIFS('All Policy Rules'!A:A,A10,'All Policy Rules'!F:F,"LOG-ONLY (continue)")</f>
        <v>15</v>
      </c>
      <c r="E10" s="8" t="n">
        <f aca="false">COUNTIFS('All Policy Rules'!A:A,A10,'All Policy Rules'!F:F,"ALLOW (exits group)")</f>
        <v>1</v>
      </c>
      <c r="F10" s="8" t="n">
        <f aca="false">COUNTIFS('All Policy Rules'!A:A,A10,'All Policy Rules'!F:F,"INACTIVE (disabled)")</f>
        <v>1</v>
      </c>
      <c r="G10" s="15" t="s">
        <v>622</v>
      </c>
      <c r="H10" s="15" t="s">
        <v>623</v>
      </c>
      <c r="I10" s="16" t="s">
        <v>610</v>
      </c>
    </row>
    <row r="11" customFormat="false" ht="60" hidden="false" customHeight="true" outlineLevel="0" collapsed="false">
      <c r="A11" s="4" t="s">
        <v>566</v>
      </c>
      <c r="B11" s="4" t="n">
        <f aca="false">COUNTIF('All Policy Rules'!A:A,A11)</f>
        <v>19</v>
      </c>
      <c r="C11" s="4" t="n">
        <f aca="false">COUNTIFS('All Policy Rules'!A:A,A11,'All Policy Rules'!F:F,"BLOCKING")</f>
        <v>9</v>
      </c>
      <c r="D11" s="4" t="n">
        <f aca="false">COUNTIFS('All Policy Rules'!A:A,A11,'All Policy Rules'!F:F,"LOG-ONLY (continue)")</f>
        <v>4</v>
      </c>
      <c r="E11" s="4" t="n">
        <f aca="false">COUNTIFS('All Policy Rules'!A:A,A11,'All Policy Rules'!F:F,"ALLOW (exits group)")</f>
        <v>6</v>
      </c>
      <c r="F11" s="4" t="n">
        <f aca="false">COUNTIFS('All Policy Rules'!A:A,A11,'All Policy Rules'!F:F,"INACTIVE (disabled)")</f>
        <v>0</v>
      </c>
      <c r="G11" s="17" t="s">
        <v>624</v>
      </c>
      <c r="H11" s="17" t="s">
        <v>625</v>
      </c>
      <c r="I11" s="18" t="s">
        <v>613</v>
      </c>
    </row>
    <row r="12" customFormat="false" ht="60" hidden="false" customHeight="true" outlineLevel="0" collapsed="false">
      <c r="A12" s="4" t="s">
        <v>162</v>
      </c>
      <c r="B12" s="4" t="n">
        <f aca="false">COUNTIF('All Policy Rules'!A:A,A12)</f>
        <v>15</v>
      </c>
      <c r="C12" s="4" t="n">
        <f aca="false">COUNTIFS('All Policy Rules'!A:A,A12,'All Policy Rules'!F:F,"BLOCKING")</f>
        <v>0</v>
      </c>
      <c r="D12" s="4" t="n">
        <f aca="false">COUNTIFS('All Policy Rules'!A:A,A12,'All Policy Rules'!F:F,"LOG-ONLY (continue)")</f>
        <v>0</v>
      </c>
      <c r="E12" s="4" t="n">
        <f aca="false">COUNTIFS('All Policy Rules'!A:A,A12,'All Policy Rules'!F:F,"ALLOW (exits group)")</f>
        <v>2</v>
      </c>
      <c r="F12" s="4" t="n">
        <f aca="false">COUNTIFS('All Policy Rules'!A:A,A12,'All Policy Rules'!F:F,"INACTIVE (disabled)")</f>
        <v>0</v>
      </c>
      <c r="G12" s="17" t="s">
        <v>626</v>
      </c>
      <c r="H12" s="17" t="s">
        <v>627</v>
      </c>
      <c r="I12" s="18" t="s">
        <v>613</v>
      </c>
    </row>
    <row r="13" customFormat="false" ht="60" hidden="false" customHeight="true" outlineLevel="0" collapsed="false">
      <c r="A13" s="4" t="s">
        <v>251</v>
      </c>
      <c r="B13" s="4" t="n">
        <f aca="false">COUNTIF('All Policy Rules'!A:A,A13)</f>
        <v>13</v>
      </c>
      <c r="C13" s="4" t="n">
        <f aca="false">COUNTIFS('All Policy Rules'!A:A,A13,'All Policy Rules'!F:F,"BLOCKING")</f>
        <v>0</v>
      </c>
      <c r="D13" s="4" t="n">
        <f aca="false">COUNTIFS('All Policy Rules'!A:A,A13,'All Policy Rules'!F:F,"LOG-ONLY (continue)")</f>
        <v>0</v>
      </c>
      <c r="E13" s="4" t="n">
        <f aca="false">COUNTIFS('All Policy Rules'!A:A,A13,'All Policy Rules'!F:F,"ALLOW (exits group)")</f>
        <v>12</v>
      </c>
      <c r="F13" s="4" t="n">
        <f aca="false">COUNTIFS('All Policy Rules'!A:A,A13,'All Policy Rules'!F:F,"INACTIVE (disabled)")</f>
        <v>0</v>
      </c>
      <c r="G13" s="17" t="s">
        <v>628</v>
      </c>
      <c r="H13" s="17" t="s">
        <v>629</v>
      </c>
      <c r="I13" s="18" t="s">
        <v>613</v>
      </c>
    </row>
    <row r="14" customFormat="false" ht="60" hidden="false" customHeight="true" outlineLevel="0" collapsed="false">
      <c r="A14" s="8" t="s">
        <v>553</v>
      </c>
      <c r="B14" s="8" t="n">
        <f aca="false">COUNTIF('All Policy Rules'!A:A,A14)</f>
        <v>10</v>
      </c>
      <c r="C14" s="8" t="n">
        <f aca="false">COUNTIFS('All Policy Rules'!A:A,A14,'All Policy Rules'!F:F,"BLOCKING")</f>
        <v>0</v>
      </c>
      <c r="D14" s="8" t="n">
        <f aca="false">COUNTIFS('All Policy Rules'!A:A,A14,'All Policy Rules'!F:F,"LOG-ONLY (continue)")</f>
        <v>0</v>
      </c>
      <c r="E14" s="8" t="n">
        <f aca="false">COUNTIFS('All Policy Rules'!A:A,A14,'All Policy Rules'!F:F,"ALLOW (exits group)")</f>
        <v>0</v>
      </c>
      <c r="F14" s="8" t="n">
        <f aca="false">COUNTIFS('All Policy Rules'!A:A,A14,'All Policy Rules'!F:F,"INACTIVE (disabled)")</f>
        <v>10</v>
      </c>
      <c r="G14" s="15" t="s">
        <v>630</v>
      </c>
      <c r="H14" s="15" t="s">
        <v>631</v>
      </c>
      <c r="I14" s="16" t="s">
        <v>632</v>
      </c>
    </row>
    <row r="15" customFormat="false" ht="60" hidden="false" customHeight="true" outlineLevel="0" collapsed="false">
      <c r="A15" s="4" t="s">
        <v>152</v>
      </c>
      <c r="B15" s="4" t="n">
        <f aca="false">COUNTIF('All Policy Rules'!A:A,A15)</f>
        <v>6</v>
      </c>
      <c r="C15" s="4" t="n">
        <f aca="false">COUNTIFS('All Policy Rules'!A:A,A15,'All Policy Rules'!F:F,"BLOCKING")</f>
        <v>2</v>
      </c>
      <c r="D15" s="4" t="n">
        <f aca="false">COUNTIFS('All Policy Rules'!A:A,A15,'All Policy Rules'!F:F,"LOG-ONLY (continue)")</f>
        <v>1</v>
      </c>
      <c r="E15" s="4" t="n">
        <f aca="false">COUNTIFS('All Policy Rules'!A:A,A15,'All Policy Rules'!F:F,"ALLOW (exits group)")</f>
        <v>0</v>
      </c>
      <c r="F15" s="4" t="n">
        <f aca="false">COUNTIFS('All Policy Rules'!A:A,A15,'All Policy Rules'!F:F,"INACTIVE (disabled)")</f>
        <v>0</v>
      </c>
      <c r="G15" s="17" t="s">
        <v>633</v>
      </c>
      <c r="H15" s="17" t="s">
        <v>634</v>
      </c>
      <c r="I15" s="18" t="s">
        <v>613</v>
      </c>
    </row>
    <row r="16" customFormat="false" ht="60" hidden="false" customHeight="true" outlineLevel="0" collapsed="false">
      <c r="A16" s="4" t="s">
        <v>274</v>
      </c>
      <c r="B16" s="4" t="n">
        <f aca="false">COUNTIF('All Policy Rules'!A:A,A16)</f>
        <v>5</v>
      </c>
      <c r="C16" s="4" t="n">
        <f aca="false">COUNTIFS('All Policy Rules'!A:A,A16,'All Policy Rules'!F:F,"BLOCKING")</f>
        <v>3</v>
      </c>
      <c r="D16" s="4" t="n">
        <f aca="false">COUNTIFS('All Policy Rules'!A:A,A16,'All Policy Rules'!F:F,"LOG-ONLY (continue)")</f>
        <v>1</v>
      </c>
      <c r="E16" s="4" t="n">
        <f aca="false">COUNTIFS('All Policy Rules'!A:A,A16,'All Policy Rules'!F:F,"ALLOW (exits group)")</f>
        <v>1</v>
      </c>
      <c r="F16" s="4" t="n">
        <f aca="false">COUNTIFS('All Policy Rules'!A:A,A16,'All Policy Rules'!F:F,"INACTIVE (disabled)")</f>
        <v>0</v>
      </c>
      <c r="G16" s="17" t="s">
        <v>635</v>
      </c>
      <c r="H16" s="17" t="s">
        <v>636</v>
      </c>
      <c r="I16" s="18" t="s">
        <v>637</v>
      </c>
    </row>
    <row r="17" customFormat="false" ht="60" hidden="false" customHeight="true" outlineLevel="0" collapsed="false">
      <c r="A17" s="4" t="s">
        <v>411</v>
      </c>
      <c r="B17" s="4" t="n">
        <f aca="false">COUNTIF('All Policy Rules'!A:A,A17)</f>
        <v>4</v>
      </c>
      <c r="C17" s="4" t="n">
        <f aca="false">COUNTIFS('All Policy Rules'!A:A,A17,'All Policy Rules'!F:F,"BLOCKING")</f>
        <v>0</v>
      </c>
      <c r="D17" s="4" t="n">
        <f aca="false">COUNTIFS('All Policy Rules'!A:A,A17,'All Policy Rules'!F:F,"LOG-ONLY (continue)")</f>
        <v>2</v>
      </c>
      <c r="E17" s="4" t="n">
        <f aca="false">COUNTIFS('All Policy Rules'!A:A,A17,'All Policy Rules'!F:F,"ALLOW (exits group)")</f>
        <v>2</v>
      </c>
      <c r="F17" s="4" t="n">
        <f aca="false">COUNTIFS('All Policy Rules'!A:A,A17,'All Policy Rules'!F:F,"INACTIVE (disabled)")</f>
        <v>0</v>
      </c>
      <c r="G17" s="17" t="s">
        <v>638</v>
      </c>
      <c r="H17" s="17" t="s">
        <v>639</v>
      </c>
      <c r="I17" s="18" t="s">
        <v>621</v>
      </c>
    </row>
    <row r="18" customFormat="false" ht="60" hidden="false" customHeight="true" outlineLevel="0" collapsed="false">
      <c r="A18" s="4" t="s">
        <v>427</v>
      </c>
      <c r="B18" s="4" t="n">
        <f aca="false">COUNTIF('All Policy Rules'!A:A,A18)</f>
        <v>4</v>
      </c>
      <c r="C18" s="4" t="n">
        <f aca="false">COUNTIFS('All Policy Rules'!A:A,A18,'All Policy Rules'!F:F,"BLOCKING")</f>
        <v>0</v>
      </c>
      <c r="D18" s="4" t="n">
        <f aca="false">COUNTIFS('All Policy Rules'!A:A,A18,'All Policy Rules'!F:F,"LOG-ONLY (continue)")</f>
        <v>1</v>
      </c>
      <c r="E18" s="4" t="n">
        <f aca="false">COUNTIFS('All Policy Rules'!A:A,A18,'All Policy Rules'!F:F,"ALLOW (exits group)")</f>
        <v>3</v>
      </c>
      <c r="F18" s="4" t="n">
        <f aca="false">COUNTIFS('All Policy Rules'!A:A,A18,'All Policy Rules'!F:F,"INACTIVE (disabled)")</f>
        <v>0</v>
      </c>
      <c r="G18" s="17" t="s">
        <v>640</v>
      </c>
      <c r="H18" s="17" t="s">
        <v>641</v>
      </c>
      <c r="I18" s="18" t="s">
        <v>637</v>
      </c>
    </row>
    <row r="19" customFormat="false" ht="60" hidden="false" customHeight="true" outlineLevel="0" collapsed="false">
      <c r="A19" s="4" t="s">
        <v>419</v>
      </c>
      <c r="B19" s="4" t="n">
        <f aca="false">COUNTIF('All Policy Rules'!A:A,A19)</f>
        <v>3</v>
      </c>
      <c r="C19" s="4" t="n">
        <f aca="false">COUNTIFS('All Policy Rules'!A:A,A19,'All Policy Rules'!F:F,"BLOCKING")</f>
        <v>0</v>
      </c>
      <c r="D19" s="4" t="n">
        <f aca="false">COUNTIFS('All Policy Rules'!A:A,A19,'All Policy Rules'!F:F,"LOG-ONLY (continue)")</f>
        <v>2</v>
      </c>
      <c r="E19" s="4" t="n">
        <f aca="false">COUNTIFS('All Policy Rules'!A:A,A19,'All Policy Rules'!F:F,"ALLOW (exits group)")</f>
        <v>1</v>
      </c>
      <c r="F19" s="4" t="n">
        <f aca="false">COUNTIFS('All Policy Rules'!A:A,A19,'All Policy Rules'!F:F,"INACTIVE (disabled)")</f>
        <v>0</v>
      </c>
      <c r="G19" s="17" t="s">
        <v>642</v>
      </c>
      <c r="H19" s="17" t="s">
        <v>643</v>
      </c>
      <c r="I19" s="18" t="s">
        <v>621</v>
      </c>
    </row>
    <row r="20" customFormat="false" ht="60" hidden="false" customHeight="true" outlineLevel="0" collapsed="false">
      <c r="A20" s="4" t="s">
        <v>26</v>
      </c>
      <c r="B20" s="4" t="n">
        <f aca="false">COUNTIF('All Policy Rules'!A:A,A20)</f>
        <v>2</v>
      </c>
      <c r="C20" s="4" t="n">
        <f aca="false">COUNTIFS('All Policy Rules'!A:A,A20,'All Policy Rules'!F:F,"BLOCKING")</f>
        <v>0</v>
      </c>
      <c r="D20" s="4" t="n">
        <f aca="false">COUNTIFS('All Policy Rules'!A:A,A20,'All Policy Rules'!F:F,"LOG-ONLY (continue)")</f>
        <v>0</v>
      </c>
      <c r="E20" s="4" t="n">
        <f aca="false">COUNTIFS('All Policy Rules'!A:A,A20,'All Policy Rules'!F:F,"ALLOW (exits group)")</f>
        <v>0</v>
      </c>
      <c r="F20" s="4" t="n">
        <f aca="false">COUNTIFS('All Policy Rules'!A:A,A20,'All Policy Rules'!F:F,"INACTIVE (disabled)")</f>
        <v>0</v>
      </c>
      <c r="G20" s="17" t="s">
        <v>644</v>
      </c>
      <c r="H20" s="17" t="s">
        <v>645</v>
      </c>
      <c r="I20" s="18" t="s">
        <v>621</v>
      </c>
    </row>
    <row r="21" customFormat="false" ht="60" hidden="false" customHeight="true" outlineLevel="0" collapsed="false">
      <c r="A21" s="4" t="s">
        <v>178</v>
      </c>
      <c r="B21" s="4" t="n">
        <f aca="false">COUNTIF('All Policy Rules'!A:A,A21)</f>
        <v>2</v>
      </c>
      <c r="C21" s="4" t="n">
        <f aca="false">COUNTIFS('All Policy Rules'!A:A,A21,'All Policy Rules'!F:F,"BLOCKING")</f>
        <v>0</v>
      </c>
      <c r="D21" s="4" t="n">
        <f aca="false">COUNTIFS('All Policy Rules'!A:A,A21,'All Policy Rules'!F:F,"LOG-ONLY (continue)")</f>
        <v>0</v>
      </c>
      <c r="E21" s="4" t="n">
        <f aca="false">COUNTIFS('All Policy Rules'!A:A,A21,'All Policy Rules'!F:F,"ALLOW (exits group)")</f>
        <v>0</v>
      </c>
      <c r="F21" s="4" t="n">
        <f aca="false">COUNTIFS('All Policy Rules'!A:A,A21,'All Policy Rules'!F:F,"INACTIVE (disabled)")</f>
        <v>0</v>
      </c>
      <c r="G21" s="17" t="s">
        <v>646</v>
      </c>
      <c r="H21" s="17" t="s">
        <v>647</v>
      </c>
      <c r="I21" s="18" t="s">
        <v>613</v>
      </c>
    </row>
    <row r="22" customFormat="false" ht="60" hidden="false" customHeight="true" outlineLevel="0" collapsed="false">
      <c r="A22" s="4" t="s">
        <v>33</v>
      </c>
      <c r="B22" s="4" t="n">
        <f aca="false">COUNTIF('All Policy Rules'!A:A,A22)</f>
        <v>1</v>
      </c>
      <c r="C22" s="4" t="n">
        <f aca="false">COUNTIFS('All Policy Rules'!A:A,A22,'All Policy Rules'!F:F,"BLOCKING")</f>
        <v>0</v>
      </c>
      <c r="D22" s="4" t="n">
        <f aca="false">COUNTIFS('All Policy Rules'!A:A,A22,'All Policy Rules'!F:F,"LOG-ONLY (continue)")</f>
        <v>1</v>
      </c>
      <c r="E22" s="4" t="n">
        <f aca="false">COUNTIFS('All Policy Rules'!A:A,A22,'All Policy Rules'!F:F,"ALLOW (exits group)")</f>
        <v>0</v>
      </c>
      <c r="F22" s="4" t="n">
        <f aca="false">COUNTIFS('All Policy Rules'!A:A,A22,'All Policy Rules'!F:F,"INACTIVE (disabled)")</f>
        <v>0</v>
      </c>
      <c r="G22" s="17" t="s">
        <v>648</v>
      </c>
      <c r="H22" s="17" t="s">
        <v>649</v>
      </c>
      <c r="I22" s="18" t="s">
        <v>650</v>
      </c>
    </row>
    <row r="23" customFormat="false" ht="60" hidden="false" customHeight="true" outlineLevel="0" collapsed="false">
      <c r="A23" s="4" t="s">
        <v>181</v>
      </c>
      <c r="B23" s="4" t="n">
        <f aca="false">COUNTIF('All Policy Rules'!A:A,A23)</f>
        <v>1</v>
      </c>
      <c r="C23" s="4" t="n">
        <f aca="false">COUNTIFS('All Policy Rules'!A:A,A23,'All Policy Rules'!F:F,"BLOCKING")</f>
        <v>0</v>
      </c>
      <c r="D23" s="4" t="n">
        <f aca="false">COUNTIFS('All Policy Rules'!A:A,A23,'All Policy Rules'!F:F,"LOG-ONLY (continue)")</f>
        <v>1</v>
      </c>
      <c r="E23" s="4" t="n">
        <f aca="false">COUNTIFS('All Policy Rules'!A:A,A23,'All Policy Rules'!F:F,"ALLOW (exits group)")</f>
        <v>0</v>
      </c>
      <c r="F23" s="4" t="n">
        <f aca="false">COUNTIFS('All Policy Rules'!A:A,A23,'All Policy Rules'!F:F,"INACTIVE (disabled)")</f>
        <v>0</v>
      </c>
      <c r="G23" s="17" t="s">
        <v>651</v>
      </c>
      <c r="H23" s="17" t="s">
        <v>652</v>
      </c>
      <c r="I23" s="18" t="s">
        <v>621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44"/>
    <col collapsed="false" customWidth="true" hidden="false" outlineLevel="0" max="4" min="4" style="0" width="12"/>
  </cols>
  <sheetData>
    <row r="1" customFormat="false" ht="18.55" hidden="false" customHeight="false" outlineLevel="0" collapsed="false">
      <c r="A1" s="1" t="s">
        <v>653</v>
      </c>
      <c r="B1" s="1"/>
      <c r="C1" s="1"/>
      <c r="D1" s="1"/>
    </row>
    <row r="2" customFormat="false" ht="15" hidden="false" customHeight="false" outlineLevel="0" collapsed="false">
      <c r="A2" s="2" t="s">
        <v>654</v>
      </c>
      <c r="B2" s="2"/>
      <c r="C2" s="2"/>
      <c r="D2" s="2"/>
    </row>
    <row r="4" customFormat="false" ht="15" hidden="false" customHeight="false" outlineLevel="0" collapsed="false">
      <c r="A4" s="3" t="s">
        <v>655</v>
      </c>
      <c r="B4" s="3" t="s">
        <v>656</v>
      </c>
      <c r="C4" s="3" t="s">
        <v>19</v>
      </c>
      <c r="D4" s="3" t="s">
        <v>20</v>
      </c>
    </row>
    <row r="5" customFormat="false" ht="15" hidden="false" customHeight="false" outlineLevel="0" collapsed="false">
      <c r="A5" s="4" t="s">
        <v>657</v>
      </c>
      <c r="B5" s="4" t="s">
        <v>28</v>
      </c>
      <c r="C5" s="4" t="s">
        <v>658</v>
      </c>
      <c r="D5" s="4" t="s">
        <v>28</v>
      </c>
    </row>
    <row r="6" customFormat="false" ht="15" hidden="false" customHeight="false" outlineLevel="0" collapsed="false">
      <c r="A6" s="4" t="s">
        <v>657</v>
      </c>
      <c r="B6" s="4" t="s">
        <v>28</v>
      </c>
      <c r="C6" s="4" t="s">
        <v>659</v>
      </c>
      <c r="D6" s="4" t="s">
        <v>28</v>
      </c>
    </row>
    <row r="7" customFormat="false" ht="15" hidden="false" customHeight="false" outlineLevel="0" collapsed="false">
      <c r="A7" s="4" t="s">
        <v>657</v>
      </c>
      <c r="B7" s="4" t="s">
        <v>28</v>
      </c>
      <c r="C7" s="4" t="s">
        <v>660</v>
      </c>
      <c r="D7" s="4" t="s">
        <v>28</v>
      </c>
    </row>
    <row r="8" customFormat="false" ht="15" hidden="false" customHeight="false" outlineLevel="0" collapsed="false">
      <c r="A8" s="4" t="s">
        <v>657</v>
      </c>
      <c r="B8" s="4" t="s">
        <v>28</v>
      </c>
      <c r="C8" s="4" t="s">
        <v>661</v>
      </c>
      <c r="D8" s="4" t="s">
        <v>28</v>
      </c>
    </row>
    <row r="9" customFormat="false" ht="15" hidden="false" customHeight="false" outlineLevel="0" collapsed="false">
      <c r="A9" s="4" t="s">
        <v>657</v>
      </c>
      <c r="B9" s="4" t="s">
        <v>28</v>
      </c>
      <c r="C9" s="4" t="s">
        <v>662</v>
      </c>
      <c r="D9" s="4" t="s">
        <v>28</v>
      </c>
    </row>
    <row r="10" customFormat="false" ht="15" hidden="false" customHeight="false" outlineLevel="0" collapsed="false">
      <c r="A10" s="4" t="s">
        <v>657</v>
      </c>
      <c r="B10" s="4" t="s">
        <v>28</v>
      </c>
      <c r="C10" s="4" t="s">
        <v>663</v>
      </c>
      <c r="D10" s="4" t="s">
        <v>28</v>
      </c>
    </row>
    <row r="11" customFormat="false" ht="15" hidden="false" customHeight="false" outlineLevel="0" collapsed="false">
      <c r="A11" s="4" t="s">
        <v>657</v>
      </c>
      <c r="B11" s="4" t="s">
        <v>28</v>
      </c>
      <c r="C11" s="4" t="s">
        <v>664</v>
      </c>
      <c r="D11" s="4" t="s">
        <v>28</v>
      </c>
    </row>
    <row r="12" customFormat="false" ht="15" hidden="false" customHeight="false" outlineLevel="0" collapsed="false">
      <c r="A12" s="4" t="s">
        <v>657</v>
      </c>
      <c r="B12" s="4" t="s">
        <v>28</v>
      </c>
      <c r="C12" s="4" t="s">
        <v>665</v>
      </c>
      <c r="D12" s="4" t="s">
        <v>28</v>
      </c>
    </row>
    <row r="13" customFormat="false" ht="15" hidden="false" customHeight="false" outlineLevel="0" collapsed="false">
      <c r="A13" s="4" t="s">
        <v>657</v>
      </c>
      <c r="B13" s="4" t="s">
        <v>28</v>
      </c>
      <c r="C13" s="4" t="s">
        <v>666</v>
      </c>
      <c r="D13" s="4" t="s">
        <v>28</v>
      </c>
    </row>
    <row r="14" customFormat="false" ht="15" hidden="false" customHeight="false" outlineLevel="0" collapsed="false">
      <c r="A14" s="4" t="s">
        <v>657</v>
      </c>
      <c r="B14" s="4" t="s">
        <v>28</v>
      </c>
      <c r="C14" s="4" t="s">
        <v>667</v>
      </c>
      <c r="D14" s="4" t="s">
        <v>28</v>
      </c>
    </row>
    <row r="15" customFormat="false" ht="15" hidden="false" customHeight="false" outlineLevel="0" collapsed="false">
      <c r="A15" s="4" t="s">
        <v>657</v>
      </c>
      <c r="B15" s="4" t="s">
        <v>28</v>
      </c>
      <c r="C15" s="4" t="s">
        <v>668</v>
      </c>
      <c r="D15" s="4" t="s">
        <v>28</v>
      </c>
    </row>
    <row r="16" customFormat="false" ht="15" hidden="false" customHeight="false" outlineLevel="0" collapsed="false">
      <c r="A16" s="4" t="s">
        <v>657</v>
      </c>
      <c r="B16" s="4" t="s">
        <v>28</v>
      </c>
      <c r="C16" s="4" t="s">
        <v>669</v>
      </c>
      <c r="D16" s="4" t="s">
        <v>28</v>
      </c>
    </row>
    <row r="17" customFormat="false" ht="15" hidden="false" customHeight="false" outlineLevel="0" collapsed="false">
      <c r="A17" s="4" t="s">
        <v>657</v>
      </c>
      <c r="B17" s="4" t="s">
        <v>28</v>
      </c>
      <c r="C17" s="4" t="s">
        <v>670</v>
      </c>
      <c r="D17" s="4" t="s">
        <v>28</v>
      </c>
    </row>
    <row r="18" customFormat="false" ht="15" hidden="false" customHeight="false" outlineLevel="0" collapsed="false">
      <c r="A18" s="4" t="s">
        <v>657</v>
      </c>
      <c r="B18" s="4" t="s">
        <v>28</v>
      </c>
      <c r="C18" s="4" t="s">
        <v>671</v>
      </c>
      <c r="D18" s="4" t="s">
        <v>28</v>
      </c>
    </row>
    <row r="19" customFormat="false" ht="15" hidden="false" customHeight="false" outlineLevel="0" collapsed="false">
      <c r="A19" s="4" t="s">
        <v>657</v>
      </c>
      <c r="B19" s="4" t="s">
        <v>28</v>
      </c>
      <c r="C19" s="4" t="s">
        <v>672</v>
      </c>
      <c r="D19" s="4" t="s">
        <v>28</v>
      </c>
    </row>
    <row r="20" customFormat="false" ht="15" hidden="false" customHeight="false" outlineLevel="0" collapsed="false">
      <c r="A20" s="4" t="s">
        <v>657</v>
      </c>
      <c r="B20" s="4" t="s">
        <v>28</v>
      </c>
      <c r="C20" s="4" t="s">
        <v>673</v>
      </c>
      <c r="D20" s="4" t="s">
        <v>28</v>
      </c>
    </row>
    <row r="21" customFormat="false" ht="15" hidden="false" customHeight="false" outlineLevel="0" collapsed="false">
      <c r="A21" s="4" t="s">
        <v>657</v>
      </c>
      <c r="B21" s="4" t="s">
        <v>28</v>
      </c>
      <c r="C21" s="4" t="s">
        <v>674</v>
      </c>
      <c r="D21" s="4" t="s">
        <v>28</v>
      </c>
    </row>
    <row r="22" customFormat="false" ht="15" hidden="false" customHeight="false" outlineLevel="0" collapsed="false">
      <c r="A22" s="4" t="s">
        <v>657</v>
      </c>
      <c r="B22" s="4" t="s">
        <v>28</v>
      </c>
      <c r="C22" s="4" t="s">
        <v>675</v>
      </c>
      <c r="D22" s="4" t="s">
        <v>28</v>
      </c>
    </row>
    <row r="23" customFormat="false" ht="15" hidden="false" customHeight="false" outlineLevel="0" collapsed="false">
      <c r="A23" s="4" t="s">
        <v>657</v>
      </c>
      <c r="B23" s="4" t="s">
        <v>28</v>
      </c>
      <c r="C23" s="4" t="s">
        <v>672</v>
      </c>
      <c r="D23" s="4" t="s">
        <v>28</v>
      </c>
    </row>
    <row r="24" customFormat="false" ht="15" hidden="false" customHeight="false" outlineLevel="0" collapsed="false">
      <c r="A24" s="4" t="s">
        <v>657</v>
      </c>
      <c r="B24" s="4" t="s">
        <v>28</v>
      </c>
      <c r="C24" s="4" t="s">
        <v>673</v>
      </c>
      <c r="D24" s="4" t="s">
        <v>28</v>
      </c>
    </row>
    <row r="25" customFormat="false" ht="15" hidden="false" customHeight="false" outlineLevel="0" collapsed="false">
      <c r="A25" s="4" t="s">
        <v>657</v>
      </c>
      <c r="B25" s="4" t="s">
        <v>28</v>
      </c>
      <c r="C25" s="4" t="s">
        <v>674</v>
      </c>
      <c r="D25" s="4" t="s">
        <v>28</v>
      </c>
    </row>
    <row r="26" customFormat="false" ht="15" hidden="false" customHeight="false" outlineLevel="0" collapsed="false">
      <c r="A26" s="4" t="s">
        <v>657</v>
      </c>
      <c r="B26" s="4" t="s">
        <v>28</v>
      </c>
      <c r="C26" s="4" t="s">
        <v>676</v>
      </c>
      <c r="D26" s="4" t="s">
        <v>28</v>
      </c>
    </row>
    <row r="27" customFormat="false" ht="15" hidden="false" customHeight="false" outlineLevel="0" collapsed="false">
      <c r="A27" s="4" t="s">
        <v>657</v>
      </c>
      <c r="B27" s="4" t="s">
        <v>28</v>
      </c>
      <c r="C27" s="4" t="s">
        <v>672</v>
      </c>
      <c r="D27" s="4" t="s">
        <v>28</v>
      </c>
    </row>
    <row r="28" customFormat="false" ht="15" hidden="false" customHeight="false" outlineLevel="0" collapsed="false">
      <c r="A28" s="4" t="s">
        <v>657</v>
      </c>
      <c r="B28" s="4" t="s">
        <v>28</v>
      </c>
      <c r="C28" s="4" t="s">
        <v>673</v>
      </c>
      <c r="D28" s="4" t="s">
        <v>28</v>
      </c>
    </row>
    <row r="29" customFormat="false" ht="15" hidden="false" customHeight="false" outlineLevel="0" collapsed="false">
      <c r="A29" s="4" t="s">
        <v>657</v>
      </c>
      <c r="B29" s="4" t="s">
        <v>28</v>
      </c>
      <c r="C29" s="4" t="s">
        <v>674</v>
      </c>
      <c r="D29" s="4" t="s">
        <v>28</v>
      </c>
    </row>
    <row r="30" customFormat="false" ht="15" hidden="false" customHeight="false" outlineLevel="0" collapsed="false">
      <c r="A30" s="4" t="s">
        <v>657</v>
      </c>
      <c r="B30" s="4" t="s">
        <v>28</v>
      </c>
      <c r="C30" s="4" t="s">
        <v>677</v>
      </c>
      <c r="D30" s="4" t="s">
        <v>28</v>
      </c>
    </row>
    <row r="31" customFormat="false" ht="15" hidden="false" customHeight="false" outlineLevel="0" collapsed="false">
      <c r="A31" s="4" t="s">
        <v>657</v>
      </c>
      <c r="B31" s="4" t="s">
        <v>28</v>
      </c>
      <c r="C31" s="4" t="s">
        <v>678</v>
      </c>
      <c r="D31" s="4" t="s">
        <v>28</v>
      </c>
    </row>
    <row r="32" customFormat="false" ht="15" hidden="false" customHeight="false" outlineLevel="0" collapsed="false">
      <c r="A32" s="4" t="s">
        <v>657</v>
      </c>
      <c r="B32" s="4" t="s">
        <v>28</v>
      </c>
      <c r="C32" s="4" t="s">
        <v>672</v>
      </c>
      <c r="D32" s="4" t="s">
        <v>28</v>
      </c>
    </row>
    <row r="33" customFormat="false" ht="15" hidden="false" customHeight="false" outlineLevel="0" collapsed="false">
      <c r="A33" s="4" t="s">
        <v>657</v>
      </c>
      <c r="B33" s="4" t="s">
        <v>28</v>
      </c>
      <c r="C33" s="4" t="s">
        <v>674</v>
      </c>
      <c r="D33" s="4" t="s">
        <v>28</v>
      </c>
    </row>
    <row r="34" customFormat="false" ht="15" hidden="false" customHeight="false" outlineLevel="0" collapsed="false">
      <c r="A34" s="4" t="s">
        <v>657</v>
      </c>
      <c r="B34" s="4" t="s">
        <v>28</v>
      </c>
      <c r="C34" s="4" t="s">
        <v>672</v>
      </c>
      <c r="D34" s="4" t="s">
        <v>28</v>
      </c>
    </row>
    <row r="35" customFormat="false" ht="15" hidden="false" customHeight="false" outlineLevel="0" collapsed="false">
      <c r="A35" s="4" t="s">
        <v>657</v>
      </c>
      <c r="B35" s="4" t="s">
        <v>28</v>
      </c>
      <c r="C35" s="4" t="s">
        <v>679</v>
      </c>
      <c r="D35" s="4" t="s">
        <v>28</v>
      </c>
    </row>
    <row r="36" customFormat="false" ht="15" hidden="false" customHeight="false" outlineLevel="0" collapsed="false">
      <c r="A36" s="4" t="s">
        <v>657</v>
      </c>
      <c r="B36" s="4" t="s">
        <v>28</v>
      </c>
      <c r="C36" s="4" t="s">
        <v>673</v>
      </c>
      <c r="D36" s="4" t="s">
        <v>28</v>
      </c>
    </row>
    <row r="37" customFormat="false" ht="15" hidden="false" customHeight="false" outlineLevel="0" collapsed="false">
      <c r="A37" s="4" t="s">
        <v>657</v>
      </c>
      <c r="B37" s="4" t="s">
        <v>28</v>
      </c>
      <c r="C37" s="4" t="s">
        <v>669</v>
      </c>
      <c r="D37" s="4" t="s">
        <v>28</v>
      </c>
    </row>
    <row r="38" customFormat="false" ht="15" hidden="false" customHeight="false" outlineLevel="0" collapsed="false">
      <c r="A38" s="4" t="s">
        <v>657</v>
      </c>
      <c r="B38" s="4" t="s">
        <v>28</v>
      </c>
      <c r="C38" s="4" t="s">
        <v>680</v>
      </c>
      <c r="D38" s="4" t="s">
        <v>28</v>
      </c>
    </row>
    <row r="39" customFormat="false" ht="15" hidden="false" customHeight="false" outlineLevel="0" collapsed="false">
      <c r="A39" s="4" t="s">
        <v>657</v>
      </c>
      <c r="B39" s="4" t="s">
        <v>28</v>
      </c>
      <c r="C39" s="4" t="s">
        <v>681</v>
      </c>
      <c r="D39" s="4" t="s">
        <v>28</v>
      </c>
    </row>
    <row r="40" customFormat="false" ht="15" hidden="false" customHeight="false" outlineLevel="0" collapsed="false">
      <c r="A40" s="4" t="s">
        <v>657</v>
      </c>
      <c r="B40" s="4" t="s">
        <v>28</v>
      </c>
      <c r="C40" s="4" t="s">
        <v>682</v>
      </c>
      <c r="D40" s="4" t="s">
        <v>28</v>
      </c>
    </row>
    <row r="41" customFormat="false" ht="15" hidden="false" customHeight="false" outlineLevel="0" collapsed="false">
      <c r="A41" s="4" t="s">
        <v>657</v>
      </c>
      <c r="B41" s="4" t="s">
        <v>28</v>
      </c>
      <c r="C41" s="4" t="s">
        <v>683</v>
      </c>
      <c r="D41" s="4" t="s">
        <v>28</v>
      </c>
    </row>
    <row r="42" customFormat="false" ht="15" hidden="false" customHeight="false" outlineLevel="0" collapsed="false">
      <c r="A42" s="4" t="s">
        <v>657</v>
      </c>
      <c r="B42" s="4" t="s">
        <v>28</v>
      </c>
      <c r="C42" s="4" t="s">
        <v>684</v>
      </c>
      <c r="D42" s="4" t="s">
        <v>28</v>
      </c>
    </row>
    <row r="43" customFormat="false" ht="15" hidden="false" customHeight="false" outlineLevel="0" collapsed="false">
      <c r="A43" s="4" t="s">
        <v>657</v>
      </c>
      <c r="B43" s="4" t="s">
        <v>28</v>
      </c>
      <c r="C43" s="4" t="s">
        <v>685</v>
      </c>
      <c r="D43" s="4" t="s">
        <v>28</v>
      </c>
    </row>
    <row r="44" customFormat="false" ht="15" hidden="false" customHeight="false" outlineLevel="0" collapsed="false">
      <c r="A44" s="4" t="s">
        <v>657</v>
      </c>
      <c r="B44" s="4" t="s">
        <v>28</v>
      </c>
      <c r="C44" s="4" t="s">
        <v>686</v>
      </c>
      <c r="D44" s="4" t="s">
        <v>28</v>
      </c>
    </row>
    <row r="45" customFormat="false" ht="15" hidden="false" customHeight="false" outlineLevel="0" collapsed="false">
      <c r="A45" s="4" t="s">
        <v>657</v>
      </c>
      <c r="B45" s="4" t="s">
        <v>28</v>
      </c>
      <c r="C45" s="4" t="s">
        <v>687</v>
      </c>
      <c r="D45" s="4" t="s">
        <v>28</v>
      </c>
    </row>
    <row r="46" customFormat="false" ht="15" hidden="false" customHeight="false" outlineLevel="0" collapsed="false">
      <c r="A46" s="4" t="s">
        <v>657</v>
      </c>
      <c r="B46" s="4" t="s">
        <v>28</v>
      </c>
      <c r="C46" s="4" t="s">
        <v>688</v>
      </c>
      <c r="D46" s="4" t="s">
        <v>28</v>
      </c>
    </row>
    <row r="47" customFormat="false" ht="15" hidden="false" customHeight="false" outlineLevel="0" collapsed="false">
      <c r="A47" s="4" t="s">
        <v>657</v>
      </c>
      <c r="B47" s="4" t="s">
        <v>28</v>
      </c>
      <c r="C47" s="4" t="s">
        <v>689</v>
      </c>
      <c r="D47" s="4" t="s">
        <v>28</v>
      </c>
    </row>
    <row r="48" customFormat="false" ht="15" hidden="false" customHeight="false" outlineLevel="0" collapsed="false">
      <c r="A48" s="4" t="s">
        <v>657</v>
      </c>
      <c r="B48" s="4" t="s">
        <v>28</v>
      </c>
      <c r="C48" s="4" t="s">
        <v>690</v>
      </c>
      <c r="D48" s="4" t="s">
        <v>28</v>
      </c>
    </row>
    <row r="49" customFormat="false" ht="15" hidden="false" customHeight="false" outlineLevel="0" collapsed="false">
      <c r="A49" s="4" t="s">
        <v>657</v>
      </c>
      <c r="B49" s="4" t="s">
        <v>28</v>
      </c>
      <c r="C49" s="4" t="s">
        <v>691</v>
      </c>
      <c r="D49" s="4" t="s">
        <v>28</v>
      </c>
    </row>
    <row r="50" customFormat="false" ht="15" hidden="false" customHeight="false" outlineLevel="0" collapsed="false">
      <c r="A50" s="4" t="s">
        <v>657</v>
      </c>
      <c r="B50" s="4" t="s">
        <v>28</v>
      </c>
      <c r="C50" s="4" t="s">
        <v>692</v>
      </c>
      <c r="D50" s="4" t="s">
        <v>28</v>
      </c>
    </row>
    <row r="51" customFormat="false" ht="15" hidden="false" customHeight="false" outlineLevel="0" collapsed="false">
      <c r="A51" s="4" t="s">
        <v>657</v>
      </c>
      <c r="B51" s="4" t="s">
        <v>28</v>
      </c>
      <c r="C51" s="4" t="s">
        <v>669</v>
      </c>
      <c r="D51" s="4" t="s">
        <v>28</v>
      </c>
    </row>
    <row r="52" customFormat="false" ht="15" hidden="false" customHeight="false" outlineLevel="0" collapsed="false">
      <c r="A52" s="4" t="s">
        <v>657</v>
      </c>
      <c r="B52" s="4" t="s">
        <v>28</v>
      </c>
      <c r="C52" s="4" t="s">
        <v>685</v>
      </c>
      <c r="D52" s="4" t="s">
        <v>28</v>
      </c>
    </row>
    <row r="53" customFormat="false" ht="15" hidden="false" customHeight="false" outlineLevel="0" collapsed="false">
      <c r="A53" s="4" t="s">
        <v>657</v>
      </c>
      <c r="B53" s="4" t="s">
        <v>28</v>
      </c>
      <c r="C53" s="4" t="s">
        <v>693</v>
      </c>
      <c r="D53" s="4" t="s">
        <v>28</v>
      </c>
    </row>
    <row r="54" customFormat="false" ht="15" hidden="false" customHeight="false" outlineLevel="0" collapsed="false">
      <c r="A54" s="4" t="s">
        <v>657</v>
      </c>
      <c r="B54" s="4" t="s">
        <v>28</v>
      </c>
      <c r="C54" s="4" t="s">
        <v>694</v>
      </c>
      <c r="D54" s="4" t="s">
        <v>28</v>
      </c>
    </row>
    <row r="55" customFormat="false" ht="15" hidden="false" customHeight="false" outlineLevel="0" collapsed="false">
      <c r="A55" s="4" t="s">
        <v>657</v>
      </c>
      <c r="B55" s="4" t="s">
        <v>28</v>
      </c>
      <c r="C55" s="4" t="s">
        <v>695</v>
      </c>
      <c r="D55" s="4" t="s">
        <v>28</v>
      </c>
    </row>
    <row r="56" customFormat="false" ht="15" hidden="false" customHeight="false" outlineLevel="0" collapsed="false">
      <c r="A56" s="4" t="s">
        <v>657</v>
      </c>
      <c r="B56" s="4" t="s">
        <v>28</v>
      </c>
      <c r="C56" s="4" t="s">
        <v>696</v>
      </c>
      <c r="D56" s="4" t="s">
        <v>28</v>
      </c>
    </row>
    <row r="57" customFormat="false" ht="15" hidden="false" customHeight="false" outlineLevel="0" collapsed="false">
      <c r="A57" s="4" t="s">
        <v>657</v>
      </c>
      <c r="B57" s="4" t="s">
        <v>28</v>
      </c>
      <c r="C57" s="4" t="s">
        <v>697</v>
      </c>
      <c r="D57" s="4" t="s">
        <v>28</v>
      </c>
    </row>
    <row r="58" customFormat="false" ht="15" hidden="false" customHeight="false" outlineLevel="0" collapsed="false">
      <c r="A58" s="4" t="s">
        <v>657</v>
      </c>
      <c r="B58" s="4" t="s">
        <v>28</v>
      </c>
      <c r="C58" s="4" t="s">
        <v>698</v>
      </c>
      <c r="D58" s="4" t="s">
        <v>28</v>
      </c>
    </row>
    <row r="59" customFormat="false" ht="15" hidden="false" customHeight="false" outlineLevel="0" collapsed="false">
      <c r="A59" s="4" t="s">
        <v>657</v>
      </c>
      <c r="B59" s="4" t="s">
        <v>28</v>
      </c>
      <c r="C59" s="4" t="s">
        <v>699</v>
      </c>
      <c r="D59" s="4" t="s">
        <v>28</v>
      </c>
    </row>
    <row r="60" customFormat="false" ht="15" hidden="false" customHeight="false" outlineLevel="0" collapsed="false">
      <c r="A60" s="4" t="s">
        <v>657</v>
      </c>
      <c r="B60" s="4" t="s">
        <v>28</v>
      </c>
      <c r="C60" s="4" t="s">
        <v>700</v>
      </c>
      <c r="D60" s="4" t="s">
        <v>28</v>
      </c>
    </row>
    <row r="61" customFormat="false" ht="15" hidden="false" customHeight="false" outlineLevel="0" collapsed="false">
      <c r="A61" s="4" t="s">
        <v>657</v>
      </c>
      <c r="B61" s="4" t="s">
        <v>28</v>
      </c>
      <c r="C61" s="4" t="s">
        <v>701</v>
      </c>
      <c r="D61" s="4" t="s">
        <v>555</v>
      </c>
    </row>
    <row r="62" customFormat="false" ht="15" hidden="false" customHeight="false" outlineLevel="0" collapsed="false">
      <c r="A62" s="4" t="s">
        <v>657</v>
      </c>
      <c r="B62" s="4" t="s">
        <v>28</v>
      </c>
      <c r="C62" s="4" t="s">
        <v>702</v>
      </c>
      <c r="D62" s="4" t="s">
        <v>555</v>
      </c>
    </row>
    <row r="63" customFormat="false" ht="15" hidden="false" customHeight="false" outlineLevel="0" collapsed="false">
      <c r="A63" s="4" t="s">
        <v>657</v>
      </c>
      <c r="B63" s="4" t="s">
        <v>28</v>
      </c>
      <c r="C63" s="4" t="s">
        <v>703</v>
      </c>
      <c r="D63" s="4" t="s">
        <v>555</v>
      </c>
    </row>
    <row r="64" customFormat="false" ht="15" hidden="false" customHeight="false" outlineLevel="0" collapsed="false">
      <c r="A64" s="4" t="s">
        <v>657</v>
      </c>
      <c r="B64" s="4" t="s">
        <v>28</v>
      </c>
      <c r="C64" s="4" t="s">
        <v>704</v>
      </c>
      <c r="D64" s="4" t="s">
        <v>555</v>
      </c>
    </row>
    <row r="65" customFormat="false" ht="15" hidden="false" customHeight="false" outlineLevel="0" collapsed="false">
      <c r="A65" s="4" t="s">
        <v>657</v>
      </c>
      <c r="B65" s="4" t="s">
        <v>28</v>
      </c>
      <c r="C65" s="4" t="s">
        <v>705</v>
      </c>
      <c r="D65" s="4" t="s">
        <v>28</v>
      </c>
    </row>
    <row r="66" customFormat="false" ht="15" hidden="false" customHeight="false" outlineLevel="0" collapsed="false">
      <c r="A66" s="4" t="s">
        <v>657</v>
      </c>
      <c r="B66" s="4" t="s">
        <v>28</v>
      </c>
      <c r="C66" s="4" t="s">
        <v>706</v>
      </c>
      <c r="D66" s="4" t="s">
        <v>28</v>
      </c>
    </row>
    <row r="67" customFormat="false" ht="15" hidden="false" customHeight="false" outlineLevel="0" collapsed="false">
      <c r="A67" s="4" t="s">
        <v>657</v>
      </c>
      <c r="B67" s="4" t="s">
        <v>28</v>
      </c>
      <c r="C67" s="4" t="s">
        <v>707</v>
      </c>
      <c r="D67" s="4" t="s">
        <v>28</v>
      </c>
    </row>
    <row r="68" customFormat="false" ht="15" hidden="false" customHeight="false" outlineLevel="0" collapsed="false">
      <c r="A68" s="4" t="s">
        <v>657</v>
      </c>
      <c r="B68" s="4" t="s">
        <v>28</v>
      </c>
      <c r="C68" s="4" t="s">
        <v>708</v>
      </c>
      <c r="D68" s="4" t="s">
        <v>28</v>
      </c>
    </row>
    <row r="69" customFormat="false" ht="15" hidden="false" customHeight="false" outlineLevel="0" collapsed="false">
      <c r="A69" s="4" t="s">
        <v>657</v>
      </c>
      <c r="B69" s="4" t="s">
        <v>28</v>
      </c>
      <c r="C69" s="4" t="s">
        <v>709</v>
      </c>
      <c r="D69" s="4" t="s">
        <v>28</v>
      </c>
    </row>
    <row r="70" customFormat="false" ht="15" hidden="false" customHeight="false" outlineLevel="0" collapsed="false">
      <c r="A70" s="4" t="s">
        <v>657</v>
      </c>
      <c r="B70" s="4" t="s">
        <v>28</v>
      </c>
      <c r="C70" s="4" t="s">
        <v>710</v>
      </c>
      <c r="D70" s="4" t="s">
        <v>28</v>
      </c>
    </row>
    <row r="71" customFormat="false" ht="15" hidden="false" customHeight="false" outlineLevel="0" collapsed="false">
      <c r="A71" s="4" t="s">
        <v>657</v>
      </c>
      <c r="B71" s="4" t="s">
        <v>28</v>
      </c>
      <c r="C71" s="4" t="s">
        <v>711</v>
      </c>
      <c r="D71" s="4" t="s">
        <v>28</v>
      </c>
    </row>
    <row r="72" customFormat="false" ht="15" hidden="false" customHeight="false" outlineLevel="0" collapsed="false">
      <c r="A72" s="4" t="s">
        <v>657</v>
      </c>
      <c r="B72" s="4" t="s">
        <v>28</v>
      </c>
      <c r="C72" s="4" t="s">
        <v>712</v>
      </c>
      <c r="D72" s="4" t="s">
        <v>28</v>
      </c>
    </row>
    <row r="73" customFormat="false" ht="15" hidden="false" customHeight="false" outlineLevel="0" collapsed="false">
      <c r="A73" s="4" t="s">
        <v>657</v>
      </c>
      <c r="B73" s="4" t="s">
        <v>28</v>
      </c>
      <c r="C73" s="4" t="s">
        <v>713</v>
      </c>
      <c r="D73" s="4" t="s">
        <v>28</v>
      </c>
    </row>
    <row r="74" customFormat="false" ht="15" hidden="false" customHeight="false" outlineLevel="0" collapsed="false">
      <c r="A74" s="4" t="s">
        <v>657</v>
      </c>
      <c r="B74" s="4" t="s">
        <v>28</v>
      </c>
      <c r="C74" s="4" t="s">
        <v>714</v>
      </c>
      <c r="D74" s="4" t="s">
        <v>28</v>
      </c>
    </row>
    <row r="75" customFormat="false" ht="15" hidden="false" customHeight="false" outlineLevel="0" collapsed="false">
      <c r="A75" s="4" t="s">
        <v>657</v>
      </c>
      <c r="B75" s="4" t="s">
        <v>28</v>
      </c>
      <c r="C75" s="4" t="s">
        <v>715</v>
      </c>
      <c r="D75" s="4" t="s">
        <v>28</v>
      </c>
    </row>
    <row r="76" customFormat="false" ht="15" hidden="false" customHeight="false" outlineLevel="0" collapsed="false">
      <c r="A76" s="4" t="s">
        <v>657</v>
      </c>
      <c r="B76" s="4" t="s">
        <v>28</v>
      </c>
      <c r="C76" s="4" t="s">
        <v>716</v>
      </c>
      <c r="D76" s="4" t="s">
        <v>28</v>
      </c>
    </row>
    <row r="77" customFormat="false" ht="15" hidden="false" customHeight="false" outlineLevel="0" collapsed="false">
      <c r="A77" s="4" t="s">
        <v>657</v>
      </c>
      <c r="B77" s="4" t="s">
        <v>28</v>
      </c>
      <c r="C77" s="4" t="s">
        <v>717</v>
      </c>
      <c r="D77" s="4" t="s">
        <v>555</v>
      </c>
    </row>
    <row r="78" customFormat="false" ht="15" hidden="false" customHeight="false" outlineLevel="0" collapsed="false">
      <c r="A78" s="4" t="s">
        <v>657</v>
      </c>
      <c r="B78" s="4" t="s">
        <v>28</v>
      </c>
      <c r="C78" s="4" t="s">
        <v>718</v>
      </c>
      <c r="D78" s="4" t="s">
        <v>555</v>
      </c>
    </row>
    <row r="79" customFormat="false" ht="15" hidden="false" customHeight="false" outlineLevel="0" collapsed="false">
      <c r="A79" s="4" t="s">
        <v>657</v>
      </c>
      <c r="B79" s="4" t="s">
        <v>28</v>
      </c>
      <c r="C79" s="4" t="s">
        <v>719</v>
      </c>
      <c r="D79" s="4" t="s">
        <v>28</v>
      </c>
    </row>
    <row r="80" customFormat="false" ht="15" hidden="false" customHeight="false" outlineLevel="0" collapsed="false">
      <c r="A80" s="4" t="s">
        <v>657</v>
      </c>
      <c r="B80" s="4" t="s">
        <v>28</v>
      </c>
      <c r="C80" s="4" t="s">
        <v>720</v>
      </c>
      <c r="D80" s="4" t="s">
        <v>555</v>
      </c>
    </row>
    <row r="81" customFormat="false" ht="15" hidden="false" customHeight="false" outlineLevel="0" collapsed="false">
      <c r="A81" s="4" t="s">
        <v>657</v>
      </c>
      <c r="B81" s="4" t="s">
        <v>28</v>
      </c>
      <c r="C81" s="4" t="s">
        <v>721</v>
      </c>
      <c r="D81" s="4" t="s">
        <v>555</v>
      </c>
    </row>
    <row r="82" customFormat="false" ht="15" hidden="false" customHeight="false" outlineLevel="0" collapsed="false">
      <c r="A82" s="4" t="s">
        <v>657</v>
      </c>
      <c r="B82" s="4" t="s">
        <v>28</v>
      </c>
      <c r="C82" s="4" t="s">
        <v>722</v>
      </c>
      <c r="D82" s="4" t="s">
        <v>28</v>
      </c>
    </row>
    <row r="83" customFormat="false" ht="15" hidden="false" customHeight="false" outlineLevel="0" collapsed="false">
      <c r="A83" s="4" t="s">
        <v>657</v>
      </c>
      <c r="B83" s="4" t="s">
        <v>28</v>
      </c>
      <c r="C83" s="4" t="s">
        <v>723</v>
      </c>
      <c r="D83" s="4" t="s">
        <v>28</v>
      </c>
    </row>
    <row r="84" customFormat="false" ht="15" hidden="false" customHeight="false" outlineLevel="0" collapsed="false">
      <c r="A84" s="4" t="s">
        <v>657</v>
      </c>
      <c r="B84" s="4" t="s">
        <v>28</v>
      </c>
      <c r="C84" s="4" t="s">
        <v>724</v>
      </c>
      <c r="D84" s="4" t="s">
        <v>28</v>
      </c>
    </row>
    <row r="85" customFormat="false" ht="15" hidden="false" customHeight="false" outlineLevel="0" collapsed="false">
      <c r="A85" s="4" t="s">
        <v>657</v>
      </c>
      <c r="B85" s="4" t="s">
        <v>28</v>
      </c>
      <c r="C85" s="4" t="s">
        <v>725</v>
      </c>
      <c r="D85" s="4" t="s">
        <v>555</v>
      </c>
    </row>
    <row r="86" customFormat="false" ht="15" hidden="false" customHeight="false" outlineLevel="0" collapsed="false">
      <c r="A86" s="4" t="s">
        <v>657</v>
      </c>
      <c r="B86" s="4" t="s">
        <v>28</v>
      </c>
      <c r="C86" s="4" t="s">
        <v>726</v>
      </c>
      <c r="D86" s="4" t="s">
        <v>555</v>
      </c>
    </row>
    <row r="87" customFormat="false" ht="15" hidden="false" customHeight="false" outlineLevel="0" collapsed="false">
      <c r="A87" s="4" t="s">
        <v>657</v>
      </c>
      <c r="B87" s="4" t="s">
        <v>28</v>
      </c>
      <c r="C87" s="4" t="s">
        <v>727</v>
      </c>
      <c r="D87" s="4" t="s">
        <v>555</v>
      </c>
    </row>
    <row r="88" customFormat="false" ht="15" hidden="false" customHeight="false" outlineLevel="0" collapsed="false">
      <c r="A88" s="4" t="s">
        <v>657</v>
      </c>
      <c r="B88" s="4" t="s">
        <v>28</v>
      </c>
      <c r="C88" s="4" t="s">
        <v>728</v>
      </c>
      <c r="D88" s="4" t="s">
        <v>28</v>
      </c>
    </row>
    <row r="89" customFormat="false" ht="15" hidden="false" customHeight="false" outlineLevel="0" collapsed="false">
      <c r="A89" s="4" t="s">
        <v>657</v>
      </c>
      <c r="B89" s="4" t="s">
        <v>28</v>
      </c>
      <c r="C89" s="4" t="s">
        <v>729</v>
      </c>
      <c r="D89" s="4" t="s">
        <v>28</v>
      </c>
    </row>
    <row r="90" customFormat="false" ht="15" hidden="false" customHeight="false" outlineLevel="0" collapsed="false">
      <c r="A90" s="4" t="s">
        <v>657</v>
      </c>
      <c r="B90" s="4" t="s">
        <v>28</v>
      </c>
      <c r="C90" s="4" t="s">
        <v>730</v>
      </c>
      <c r="D90" s="4" t="s">
        <v>28</v>
      </c>
    </row>
    <row r="91" customFormat="false" ht="15" hidden="false" customHeight="false" outlineLevel="0" collapsed="false">
      <c r="A91" s="4" t="s">
        <v>657</v>
      </c>
      <c r="B91" s="4" t="s">
        <v>28</v>
      </c>
      <c r="C91" s="4" t="s">
        <v>731</v>
      </c>
      <c r="D91" s="4" t="s">
        <v>28</v>
      </c>
    </row>
    <row r="92" customFormat="false" ht="15" hidden="false" customHeight="false" outlineLevel="0" collapsed="false">
      <c r="A92" s="4" t="s">
        <v>657</v>
      </c>
      <c r="B92" s="4" t="s">
        <v>28</v>
      </c>
      <c r="C92" s="4" t="s">
        <v>732</v>
      </c>
      <c r="D92" s="4" t="s">
        <v>28</v>
      </c>
    </row>
    <row r="93" customFormat="false" ht="15" hidden="false" customHeight="false" outlineLevel="0" collapsed="false">
      <c r="A93" s="4" t="s">
        <v>657</v>
      </c>
      <c r="B93" s="4" t="s">
        <v>28</v>
      </c>
      <c r="C93" s="4" t="s">
        <v>733</v>
      </c>
      <c r="D93" s="4" t="s">
        <v>28</v>
      </c>
    </row>
    <row r="94" customFormat="false" ht="15" hidden="false" customHeight="false" outlineLevel="0" collapsed="false">
      <c r="A94" s="4" t="s">
        <v>657</v>
      </c>
      <c r="B94" s="4" t="s">
        <v>28</v>
      </c>
      <c r="C94" s="4" t="s">
        <v>734</v>
      </c>
      <c r="D94" s="4" t="s">
        <v>28</v>
      </c>
    </row>
    <row r="95" customFormat="false" ht="15" hidden="false" customHeight="false" outlineLevel="0" collapsed="false">
      <c r="A95" s="4" t="s">
        <v>657</v>
      </c>
      <c r="B95" s="4" t="s">
        <v>28</v>
      </c>
      <c r="C95" s="4" t="s">
        <v>735</v>
      </c>
      <c r="D95" s="4" t="s">
        <v>28</v>
      </c>
    </row>
    <row r="96" customFormat="false" ht="15" hidden="false" customHeight="false" outlineLevel="0" collapsed="false">
      <c r="A96" s="4" t="s">
        <v>657</v>
      </c>
      <c r="B96" s="4" t="s">
        <v>28</v>
      </c>
      <c r="C96" s="4" t="s">
        <v>736</v>
      </c>
      <c r="D96" s="4" t="s">
        <v>28</v>
      </c>
    </row>
    <row r="97" customFormat="false" ht="15" hidden="false" customHeight="false" outlineLevel="0" collapsed="false">
      <c r="A97" s="4" t="s">
        <v>657</v>
      </c>
      <c r="B97" s="4" t="s">
        <v>28</v>
      </c>
      <c r="C97" s="4" t="s">
        <v>737</v>
      </c>
      <c r="D97" s="4" t="s">
        <v>28</v>
      </c>
    </row>
    <row r="98" customFormat="false" ht="15" hidden="false" customHeight="false" outlineLevel="0" collapsed="false">
      <c r="A98" s="4" t="s">
        <v>657</v>
      </c>
      <c r="B98" s="4" t="s">
        <v>28</v>
      </c>
      <c r="C98" s="4" t="s">
        <v>738</v>
      </c>
      <c r="D98" s="4" t="s">
        <v>28</v>
      </c>
    </row>
    <row r="99" customFormat="false" ht="15" hidden="false" customHeight="false" outlineLevel="0" collapsed="false">
      <c r="A99" s="4" t="s">
        <v>657</v>
      </c>
      <c r="B99" s="4" t="s">
        <v>28</v>
      </c>
      <c r="C99" s="4" t="s">
        <v>739</v>
      </c>
      <c r="D99" s="4" t="s">
        <v>28</v>
      </c>
    </row>
    <row r="100" customFormat="false" ht="15" hidden="false" customHeight="false" outlineLevel="0" collapsed="false">
      <c r="A100" s="4" t="s">
        <v>657</v>
      </c>
      <c r="B100" s="4" t="s">
        <v>28</v>
      </c>
      <c r="C100" s="4" t="s">
        <v>740</v>
      </c>
      <c r="D100" s="4" t="s">
        <v>28</v>
      </c>
    </row>
    <row r="101" customFormat="false" ht="15" hidden="false" customHeight="false" outlineLevel="0" collapsed="false">
      <c r="A101" s="4" t="s">
        <v>657</v>
      </c>
      <c r="B101" s="4" t="s">
        <v>28</v>
      </c>
      <c r="C101" s="4" t="s">
        <v>741</v>
      </c>
      <c r="D101" s="4" t="s">
        <v>28</v>
      </c>
    </row>
    <row r="102" customFormat="false" ht="15" hidden="false" customHeight="false" outlineLevel="0" collapsed="false">
      <c r="A102" s="4" t="s">
        <v>657</v>
      </c>
      <c r="B102" s="4" t="s">
        <v>28</v>
      </c>
      <c r="C102" s="4" t="s">
        <v>742</v>
      </c>
      <c r="D102" s="4" t="s">
        <v>28</v>
      </c>
    </row>
    <row r="103" customFormat="false" ht="15" hidden="false" customHeight="false" outlineLevel="0" collapsed="false">
      <c r="A103" s="4" t="s">
        <v>657</v>
      </c>
      <c r="B103" s="4" t="s">
        <v>28</v>
      </c>
      <c r="C103" s="4" t="s">
        <v>743</v>
      </c>
      <c r="D103" s="4" t="s">
        <v>28</v>
      </c>
    </row>
    <row r="104" customFormat="false" ht="15" hidden="false" customHeight="false" outlineLevel="0" collapsed="false">
      <c r="A104" s="4" t="s">
        <v>657</v>
      </c>
      <c r="B104" s="4" t="s">
        <v>28</v>
      </c>
      <c r="C104" s="4" t="s">
        <v>744</v>
      </c>
      <c r="D104" s="4" t="s">
        <v>555</v>
      </c>
    </row>
    <row r="105" customFormat="false" ht="15" hidden="false" customHeight="false" outlineLevel="0" collapsed="false">
      <c r="A105" s="4" t="s">
        <v>657</v>
      </c>
      <c r="B105" s="4" t="s">
        <v>28</v>
      </c>
      <c r="C105" s="4" t="s">
        <v>744</v>
      </c>
      <c r="D105" s="4" t="s">
        <v>28</v>
      </c>
    </row>
    <row r="106" customFormat="false" ht="15" hidden="false" customHeight="false" outlineLevel="0" collapsed="false">
      <c r="A106" s="4" t="s">
        <v>657</v>
      </c>
      <c r="B106" s="4" t="s">
        <v>28</v>
      </c>
      <c r="C106" s="4" t="s">
        <v>745</v>
      </c>
      <c r="D106" s="4" t="s">
        <v>28</v>
      </c>
    </row>
    <row r="107" customFormat="false" ht="15" hidden="false" customHeight="false" outlineLevel="0" collapsed="false">
      <c r="A107" s="4" t="s">
        <v>657</v>
      </c>
      <c r="B107" s="4" t="s">
        <v>28</v>
      </c>
      <c r="C107" s="4" t="s">
        <v>746</v>
      </c>
      <c r="D107" s="4" t="s">
        <v>28</v>
      </c>
    </row>
    <row r="108" customFormat="false" ht="15" hidden="false" customHeight="false" outlineLevel="0" collapsed="false">
      <c r="A108" s="4" t="s">
        <v>657</v>
      </c>
      <c r="B108" s="4" t="s">
        <v>28</v>
      </c>
      <c r="C108" s="4" t="s">
        <v>747</v>
      </c>
      <c r="D108" s="4" t="s">
        <v>28</v>
      </c>
    </row>
    <row r="109" customFormat="false" ht="15" hidden="false" customHeight="false" outlineLevel="0" collapsed="false">
      <c r="A109" s="4" t="s">
        <v>657</v>
      </c>
      <c r="B109" s="4" t="s">
        <v>28</v>
      </c>
      <c r="C109" s="4" t="s">
        <v>748</v>
      </c>
      <c r="D109" s="4" t="s">
        <v>28</v>
      </c>
    </row>
    <row r="110" customFormat="false" ht="15" hidden="false" customHeight="false" outlineLevel="0" collapsed="false">
      <c r="A110" s="4" t="s">
        <v>657</v>
      </c>
      <c r="B110" s="4" t="s">
        <v>28</v>
      </c>
      <c r="C110" s="4" t="s">
        <v>749</v>
      </c>
      <c r="D110" s="4" t="s">
        <v>28</v>
      </c>
    </row>
    <row r="111" customFormat="false" ht="15" hidden="false" customHeight="false" outlineLevel="0" collapsed="false">
      <c r="A111" s="4" t="s">
        <v>657</v>
      </c>
      <c r="B111" s="4" t="s">
        <v>28</v>
      </c>
      <c r="C111" s="4" t="s">
        <v>749</v>
      </c>
      <c r="D111" s="4" t="s">
        <v>28</v>
      </c>
    </row>
    <row r="112" customFormat="false" ht="15" hidden="false" customHeight="false" outlineLevel="0" collapsed="false">
      <c r="A112" s="4" t="s">
        <v>657</v>
      </c>
      <c r="B112" s="4" t="s">
        <v>28</v>
      </c>
      <c r="C112" s="4" t="s">
        <v>741</v>
      </c>
      <c r="D112" s="4" t="s">
        <v>28</v>
      </c>
    </row>
    <row r="113" customFormat="false" ht="15" hidden="false" customHeight="false" outlineLevel="0" collapsed="false">
      <c r="A113" s="4" t="s">
        <v>657</v>
      </c>
      <c r="B113" s="4" t="s">
        <v>28</v>
      </c>
      <c r="C113" s="4" t="s">
        <v>746</v>
      </c>
      <c r="D113" s="4" t="s">
        <v>28</v>
      </c>
    </row>
    <row r="114" customFormat="false" ht="15" hidden="false" customHeight="false" outlineLevel="0" collapsed="false">
      <c r="A114" s="4" t="s">
        <v>657</v>
      </c>
      <c r="B114" s="4" t="s">
        <v>28</v>
      </c>
      <c r="C114" s="4" t="s">
        <v>750</v>
      </c>
      <c r="D114" s="4" t="s">
        <v>28</v>
      </c>
    </row>
    <row r="115" customFormat="false" ht="15" hidden="false" customHeight="false" outlineLevel="0" collapsed="false">
      <c r="A115" s="4" t="s">
        <v>657</v>
      </c>
      <c r="B115" s="4" t="s">
        <v>28</v>
      </c>
      <c r="C115" s="4" t="s">
        <v>751</v>
      </c>
      <c r="D115" s="4" t="s">
        <v>28</v>
      </c>
    </row>
    <row r="116" customFormat="false" ht="15" hidden="false" customHeight="false" outlineLevel="0" collapsed="false">
      <c r="A116" s="4" t="s">
        <v>657</v>
      </c>
      <c r="B116" s="4" t="s">
        <v>28</v>
      </c>
      <c r="C116" s="4" t="s">
        <v>752</v>
      </c>
      <c r="D116" s="4" t="s">
        <v>28</v>
      </c>
    </row>
    <row r="117" customFormat="false" ht="15" hidden="false" customHeight="false" outlineLevel="0" collapsed="false">
      <c r="A117" s="4" t="s">
        <v>657</v>
      </c>
      <c r="B117" s="4" t="s">
        <v>28</v>
      </c>
      <c r="C117" s="4" t="s">
        <v>753</v>
      </c>
      <c r="D117" s="4" t="s">
        <v>28</v>
      </c>
    </row>
    <row r="118" customFormat="false" ht="15" hidden="false" customHeight="false" outlineLevel="0" collapsed="false">
      <c r="A118" s="4" t="s">
        <v>657</v>
      </c>
      <c r="B118" s="4" t="s">
        <v>28</v>
      </c>
      <c r="C118" s="4" t="s">
        <v>754</v>
      </c>
      <c r="D118" s="4" t="s">
        <v>28</v>
      </c>
    </row>
    <row r="119" customFormat="false" ht="15" hidden="false" customHeight="false" outlineLevel="0" collapsed="false">
      <c r="A119" s="4" t="s">
        <v>657</v>
      </c>
      <c r="B119" s="4" t="s">
        <v>28</v>
      </c>
      <c r="C119" s="4" t="s">
        <v>755</v>
      </c>
      <c r="D119" s="4" t="s">
        <v>28</v>
      </c>
    </row>
    <row r="120" customFormat="false" ht="15" hidden="false" customHeight="false" outlineLevel="0" collapsed="false">
      <c r="A120" s="4" t="s">
        <v>657</v>
      </c>
      <c r="B120" s="4" t="s">
        <v>28</v>
      </c>
      <c r="C120" s="4" t="s">
        <v>756</v>
      </c>
      <c r="D120" s="4" t="s">
        <v>28</v>
      </c>
    </row>
    <row r="121" customFormat="false" ht="15" hidden="false" customHeight="false" outlineLevel="0" collapsed="false">
      <c r="A121" s="4" t="s">
        <v>657</v>
      </c>
      <c r="B121" s="4" t="s">
        <v>28</v>
      </c>
      <c r="C121" s="4" t="s">
        <v>757</v>
      </c>
      <c r="D121" s="4" t="s">
        <v>28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44"/>
    <col collapsed="false" customWidth="true" hidden="false" outlineLevel="0" max="4" min="4" style="0" width="12"/>
  </cols>
  <sheetData>
    <row r="1" customFormat="false" ht="18.55" hidden="false" customHeight="false" outlineLevel="0" collapsed="false">
      <c r="A1" s="1" t="s">
        <v>758</v>
      </c>
      <c r="B1" s="1"/>
      <c r="C1" s="1"/>
      <c r="D1" s="1"/>
    </row>
    <row r="2" customFormat="false" ht="15" hidden="false" customHeight="false" outlineLevel="0" collapsed="false">
      <c r="A2" s="2" t="s">
        <v>759</v>
      </c>
      <c r="B2" s="2"/>
      <c r="C2" s="2"/>
      <c r="D2" s="2"/>
    </row>
    <row r="4" customFormat="false" ht="15" hidden="false" customHeight="false" outlineLevel="0" collapsed="false">
      <c r="A4" s="3" t="s">
        <v>655</v>
      </c>
      <c r="B4" s="3" t="s">
        <v>656</v>
      </c>
      <c r="C4" s="3" t="s">
        <v>19</v>
      </c>
      <c r="D4" s="3" t="s">
        <v>20</v>
      </c>
    </row>
    <row r="5" customFormat="false" ht="15" hidden="false" customHeight="false" outlineLevel="0" collapsed="false">
      <c r="A5" s="4" t="s">
        <v>760</v>
      </c>
      <c r="B5" s="4" t="s">
        <v>28</v>
      </c>
      <c r="C5" s="4" t="s">
        <v>761</v>
      </c>
      <c r="D5" s="4" t="s">
        <v>28</v>
      </c>
    </row>
    <row r="6" customFormat="false" ht="15" hidden="false" customHeight="false" outlineLevel="0" collapsed="false">
      <c r="A6" s="4" t="s">
        <v>760</v>
      </c>
      <c r="B6" s="4" t="s">
        <v>28</v>
      </c>
      <c r="C6" s="4" t="s">
        <v>762</v>
      </c>
      <c r="D6" s="4" t="s">
        <v>28</v>
      </c>
    </row>
    <row r="7" customFormat="false" ht="15" hidden="false" customHeight="false" outlineLevel="0" collapsed="false">
      <c r="A7" s="4" t="s">
        <v>760</v>
      </c>
      <c r="B7" s="4" t="s">
        <v>28</v>
      </c>
      <c r="C7" s="4" t="s">
        <v>763</v>
      </c>
      <c r="D7" s="4" t="s">
        <v>28</v>
      </c>
    </row>
    <row r="8" customFormat="false" ht="15" hidden="false" customHeight="false" outlineLevel="0" collapsed="false">
      <c r="A8" s="4" t="s">
        <v>760</v>
      </c>
      <c r="B8" s="4" t="s">
        <v>28</v>
      </c>
      <c r="C8" s="4" t="s">
        <v>764</v>
      </c>
      <c r="D8" s="4" t="s">
        <v>28</v>
      </c>
    </row>
    <row r="9" customFormat="false" ht="15" hidden="false" customHeight="false" outlineLevel="0" collapsed="false">
      <c r="A9" s="4" t="s">
        <v>760</v>
      </c>
      <c r="B9" s="4" t="s">
        <v>28</v>
      </c>
      <c r="C9" s="4" t="s">
        <v>765</v>
      </c>
      <c r="D9" s="4" t="s">
        <v>28</v>
      </c>
    </row>
    <row r="10" customFormat="false" ht="15" hidden="false" customHeight="false" outlineLevel="0" collapsed="false">
      <c r="A10" s="4" t="s">
        <v>760</v>
      </c>
      <c r="B10" s="4" t="s">
        <v>28</v>
      </c>
      <c r="C10" s="4" t="s">
        <v>766</v>
      </c>
      <c r="D10" s="4" t="s">
        <v>28</v>
      </c>
    </row>
    <row r="11" customFormat="false" ht="15" hidden="false" customHeight="false" outlineLevel="0" collapsed="false">
      <c r="A11" s="4" t="s">
        <v>760</v>
      </c>
      <c r="B11" s="4" t="s">
        <v>28</v>
      </c>
      <c r="C11" s="4" t="s">
        <v>767</v>
      </c>
      <c r="D11" s="4" t="s">
        <v>28</v>
      </c>
    </row>
    <row r="12" customFormat="false" ht="15" hidden="false" customHeight="false" outlineLevel="0" collapsed="false">
      <c r="A12" s="4" t="s">
        <v>760</v>
      </c>
      <c r="B12" s="4" t="s">
        <v>28</v>
      </c>
      <c r="C12" s="4" t="s">
        <v>768</v>
      </c>
      <c r="D12" s="4" t="s">
        <v>28</v>
      </c>
    </row>
    <row r="13" customFormat="false" ht="15" hidden="false" customHeight="false" outlineLevel="0" collapsed="false">
      <c r="A13" s="4" t="s">
        <v>760</v>
      </c>
      <c r="B13" s="4" t="s">
        <v>28</v>
      </c>
      <c r="C13" s="4" t="s">
        <v>769</v>
      </c>
      <c r="D13" s="4" t="s">
        <v>28</v>
      </c>
    </row>
    <row r="14" customFormat="false" ht="15" hidden="false" customHeight="false" outlineLevel="0" collapsed="false">
      <c r="A14" s="4" t="s">
        <v>760</v>
      </c>
      <c r="B14" s="4" t="s">
        <v>28</v>
      </c>
      <c r="C14" s="4" t="s">
        <v>770</v>
      </c>
      <c r="D14" s="4" t="s">
        <v>28</v>
      </c>
    </row>
    <row r="15" customFormat="false" ht="15" hidden="false" customHeight="false" outlineLevel="0" collapsed="false">
      <c r="A15" s="4" t="s">
        <v>760</v>
      </c>
      <c r="B15" s="4" t="s">
        <v>28</v>
      </c>
      <c r="C15" s="4" t="s">
        <v>771</v>
      </c>
      <c r="D15" s="4" t="s">
        <v>28</v>
      </c>
    </row>
    <row r="16" customFormat="false" ht="15" hidden="false" customHeight="false" outlineLevel="0" collapsed="false">
      <c r="A16" s="4" t="s">
        <v>760</v>
      </c>
      <c r="B16" s="4" t="s">
        <v>28</v>
      </c>
      <c r="C16" s="4" t="s">
        <v>772</v>
      </c>
      <c r="D16" s="4" t="s">
        <v>28</v>
      </c>
    </row>
    <row r="17" customFormat="false" ht="15" hidden="false" customHeight="false" outlineLevel="0" collapsed="false">
      <c r="A17" s="4" t="s">
        <v>760</v>
      </c>
      <c r="B17" s="4" t="s">
        <v>28</v>
      </c>
      <c r="C17" s="4" t="s">
        <v>773</v>
      </c>
      <c r="D17" s="4" t="s">
        <v>28</v>
      </c>
    </row>
    <row r="18" customFormat="false" ht="15" hidden="false" customHeight="false" outlineLevel="0" collapsed="false">
      <c r="A18" s="4" t="s">
        <v>760</v>
      </c>
      <c r="B18" s="4" t="s">
        <v>28</v>
      </c>
      <c r="C18" s="4" t="s">
        <v>774</v>
      </c>
      <c r="D18" s="4" t="s">
        <v>28</v>
      </c>
    </row>
    <row r="19" customFormat="false" ht="15" hidden="false" customHeight="false" outlineLevel="0" collapsed="false">
      <c r="A19" s="4" t="s">
        <v>760</v>
      </c>
      <c r="B19" s="4" t="s">
        <v>28</v>
      </c>
      <c r="C19" s="4" t="s">
        <v>775</v>
      </c>
      <c r="D19" s="4" t="s">
        <v>28</v>
      </c>
    </row>
    <row r="20" customFormat="false" ht="15" hidden="false" customHeight="false" outlineLevel="0" collapsed="false">
      <c r="A20" s="4" t="s">
        <v>760</v>
      </c>
      <c r="B20" s="4" t="s">
        <v>28</v>
      </c>
      <c r="C20" s="4" t="s">
        <v>776</v>
      </c>
      <c r="D20" s="4" t="s">
        <v>28</v>
      </c>
    </row>
    <row r="21" customFormat="false" ht="15" hidden="false" customHeight="false" outlineLevel="0" collapsed="false">
      <c r="A21" s="4" t="s">
        <v>760</v>
      </c>
      <c r="B21" s="4" t="s">
        <v>28</v>
      </c>
      <c r="C21" s="4" t="s">
        <v>777</v>
      </c>
      <c r="D21" s="4" t="s">
        <v>28</v>
      </c>
    </row>
    <row r="22" customFormat="false" ht="15" hidden="false" customHeight="false" outlineLevel="0" collapsed="false">
      <c r="A22" s="4" t="s">
        <v>760</v>
      </c>
      <c r="B22" s="4" t="s">
        <v>28</v>
      </c>
      <c r="C22" s="4" t="s">
        <v>778</v>
      </c>
      <c r="D22" s="4" t="s">
        <v>28</v>
      </c>
    </row>
    <row r="23" customFormat="false" ht="15" hidden="false" customHeight="false" outlineLevel="0" collapsed="false">
      <c r="A23" s="4" t="s">
        <v>760</v>
      </c>
      <c r="B23" s="4" t="s">
        <v>28</v>
      </c>
      <c r="C23" s="4" t="s">
        <v>779</v>
      </c>
      <c r="D23" s="4" t="s">
        <v>28</v>
      </c>
    </row>
    <row r="24" customFormat="false" ht="15" hidden="false" customHeight="false" outlineLevel="0" collapsed="false">
      <c r="A24" s="4" t="s">
        <v>760</v>
      </c>
      <c r="B24" s="4" t="s">
        <v>28</v>
      </c>
      <c r="C24" s="4" t="s">
        <v>780</v>
      </c>
      <c r="D24" s="4" t="s">
        <v>28</v>
      </c>
    </row>
    <row r="25" customFormat="false" ht="15" hidden="false" customHeight="false" outlineLevel="0" collapsed="false">
      <c r="A25" s="4" t="s">
        <v>760</v>
      </c>
      <c r="B25" s="4" t="s">
        <v>28</v>
      </c>
      <c r="C25" s="4" t="s">
        <v>781</v>
      </c>
      <c r="D25" s="4" t="s">
        <v>28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2026-07-22T02:42:24Z</dcterms:created>
  <dc:creator>openpyxl</dc:creator>
  <dc:description/>
  <dc:language>en-US</dc:language>
  <cp:lastModifiedBy/>
  <dcterms:modified xsi:type="dcterms:W3CDTF">2026-07-22T02:42:24Z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